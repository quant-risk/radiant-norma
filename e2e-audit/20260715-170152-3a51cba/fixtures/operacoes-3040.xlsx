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46785a9f8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coes" sheetId="1" r:id="Re5ee6efefbd14641"/>
    <x:sheet xmlns:r="http://schemas.openxmlformats.org/officeDocument/2006/relationships" name="Manifesto" sheetId="2" r:id="R8076666b1c58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1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2" fillId="3" borderId="4" xfId="0" applyNumberFormat="1" applyFont="1" applyFill="1" applyBorder="1"/>
    <x:xf numFmtId="200" fontId="2" fillId="3" borderId="5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ffd7ae47b4fa9" /><Relationship Type="http://schemas.openxmlformats.org/officeDocument/2006/relationships/theme" Target="/xl/theme/theme1.xml" Id="R80ca11ed5f934783" /><Relationship Type="http://schemas.openxmlformats.org/officeDocument/2006/relationships/sharedStrings" Target="/xl/sharedStrings.xml" Id="Rc58146d103634ad1" /><Relationship Type="http://schemas.openxmlformats.org/officeDocument/2006/relationships/worksheet" Target="/xl/worksheets/sheet1.xml" Id="Re5ee6efefbd14641" /><Relationship Type="http://schemas.openxmlformats.org/officeDocument/2006/relationships/worksheet" Target="/xl/worksheets/sheet2.xml" Id="R8076666b1c58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3" hidden="0" customWidth="1"/>
    <x:col min="4" max="4" width="15" hidden="0" customWidth="1"/>
    <x:col min="5" max="5" width="19" hidden="0" customWidth="1"/>
    <x:col min="6" max="6" width="19" hidden="0" customWidth="1"/>
    <x:col min="7" max="7" width="19" hidden="0" customWidth="1"/>
    <x:col min="8" max="8" width="22" hidden="0" customWidth="1"/>
    <x:col min="9" max="9" width="15" hidden="0" customWidth="1"/>
    <x:col min="10" max="10" width="15" hidden="0" customWidth="1"/>
    <x:col min="11" max="11" width="21" hidden="0" customWidth="1"/>
  </x:cols>
  <x:sheetData>
    <x:row r="1" ht="22" customHeight="1">
      <x:c r="A1" s="10" t="str">
        <x:v>cnpj</x:v>
      </x:c>
      <x:c r="B1" s="11" t="str">
        <x:v>nome_if</x:v>
      </x:c>
      <x:c r="C1" s="11" t="str">
        <x:v>modalidade</x:v>
      </x:c>
      <x:c r="D1" s="11" t="str">
        <x:v>valor</x:v>
      </x:c>
      <x:c r="E1" s="11" t="str">
        <x:v>uf</x:v>
      </x:c>
      <x:c r="F1" s="11" t="str">
        <x:v>tipo_pessoa</x:v>
      </x:c>
      <x:c r="G1" s="11" t="str">
        <x:v>classificacao_if</x:v>
      </x:c>
      <x:c r="H1" s="11" t="str">
        <x:v>contrato</x:v>
      </x:c>
      <x:c r="I1" s="11" t="str">
        <x:v>indice</x:v>
      </x:c>
      <x:c r="J1" s="11" t="str">
        <x:v>taxa</x:v>
      </x:c>
      <x:c r="K1" s="12" t="str">
        <x:v>data_vencimento</x:v>
      </x:c>
    </x:row>
    <x:row r="2" ht="22" customHeight="1">
      <x:c r="A2" s="13" t="str">
        <x:v>12345678</x:v>
      </x:c>
      <x:c r="B2" s="7" t="str">
        <x:v>Banco Aurora Sintético S.A.</x:v>
      </x:c>
      <x:c r="C2" s="7" t="str">
        <x:v>1000</x:v>
      </x:c>
      <x:c r="D2" s="8" t="n">
        <x:v>50000</x:v>
      </x:c>
      <x:c r="E2" s="7" t="str">
        <x:v>SP</x:v>
      </x:c>
      <x:c r="F2" s="7" t="str">
        <x:v>PF</x:v>
      </x:c>
      <x:c r="G2" s="7" t="str">
        <x:v>A</x:v>
      </x:c>
      <x:c r="H2" s="7" t="str">
        <x:v>E2E-SCR-XLSX-001</x:v>
      </x:c>
      <x:c r="I2" s="7" t="str">
        <x:v>CDI</x:v>
      </x:c>
      <x:c r="J2" s="9" t="n">
        <x:v>0.015</x:v>
      </x:c>
      <x:c r="K2" s="14" t="str">
        <x:v>2026-12-31</x:v>
      </x:c>
    </x:row>
    <x:row r="3" ht="22" customHeight="1">
      <x:c r="A3" s="15" t="str">
        <x:v>12345678</x:v>
      </x:c>
      <x:c r="B3" s="16" t="str">
        <x:v>Banco Aurora Sintético S.A.</x:v>
      </x:c>
      <x:c r="C3" s="16" t="str">
        <x:v>1000</x:v>
      </x:c>
      <x:c r="D3" s="17" t="n">
        <x:v>75000.25</x:v>
      </x:c>
      <x:c r="E3" s="16" t="str">
        <x:v>RJ</x:v>
      </x:c>
      <x:c r="F3" s="16" t="str">
        <x:v>PJ</x:v>
      </x:c>
      <x:c r="G3" s="16" t="str">
        <x:v>B</x:v>
      </x:c>
      <x:c r="H3" s="16" t="str">
        <x:v>E2E-SCR-XLSX-002</x:v>
      </x:c>
      <x:c r="I3" s="16" t="str">
        <x:v>PRE</x:v>
      </x:c>
      <x:c r="J3" s="18" t="n">
        <x:v>0.021</x:v>
      </x:c>
      <x:c r="K3" s="19" t="str">
        <x:v>2027-06-30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26" hidden="0" customWidth="1"/>
  </x:cols>
  <x:sheetData>
    <x:row r="1" ht="22" customHeight="1">
      <x:c r="A1" s="25" t="str">
        <x:v>Fixture E2E</x:v>
      </x:c>
      <x:c r="B1" s="26" t="str">
        <x:v>Valor</x:v>
      </x:c>
      <x:c r="C1" s="26" t="str">
        <x:v>Verificação</x:v>
      </x:c>
      <x:c r="D1" s="27" t="str">
        <x:v>Resultado</x:v>
      </x:c>
    </x:row>
    <x:row r="2" ht="22" customHeight="1">
      <x:c r="A2" s="28" t="str">
        <x:v>id</x:v>
      </x:c>
      <x:c r="B2" s="6" t="str">
        <x:v>3040-upload-xlsx-realista</x:v>
      </x:c>
      <x:c r="C2" s="6" t="str">
        <x:v>Linhas carregadas</x:v>
      </x:c>
      <x:c r="D2" s="29" t="n">
        <x:f>COUNTA(Operacoes!A2:A100)</x:f>
        <x:v>2</x:v>
      </x:c>
    </x:row>
    <x:row r="3" ht="22" customHeight="1">
      <x:c r="A3" s="28" t="str">
        <x:v>seed</x:v>
      </x:c>
      <x:c r="B3" s="6" t="n">
        <x:v>42</x:v>
      </x:c>
      <x:c r="C3" s="6" t="str">
        <x:v>Soma dos valores</x:v>
      </x:c>
      <x:c r="D3" s="29" t="n">
        <x:f>SUM(Operacoes!D2:D100)</x:f>
        <x:v>125000.25</x:v>
      </x:c>
    </x:row>
    <x:row r="4" ht="22" customHeight="1">
      <x:c r="A4" s="28" t="str">
        <x:v>instituicao</x:v>
      </x:c>
      <x:c r="B4" s="6" t="str">
        <x:v>Banco Aurora Sintético S.A.</x:v>
      </x:c>
      <x:c r="C4" s="6" t="str">
        <x:v>Contratos preenchidos</x:v>
      </x:c>
      <x:c r="D4" s="29" t="n">
        <x:f>COUNTA(Operacoes!H2:H100)</x:f>
        <x:v>2</x:v>
      </x:c>
    </x:row>
    <x:row r="5" ht="22" customHeight="1">
      <x:c r="A5" s="28" t="str">
        <x:v>cnpj_raiz</x:v>
      </x:c>
      <x:c r="B5" s="6" t="str">
        <x:v>12345678</x:v>
      </x:c>
      <x:c r="C5" s="6"/>
      <x:c r="D5" s="30"/>
    </x:row>
    <x:row r="6" ht="22" customHeight="1">
      <x:c r="A6" s="28" t="str">
        <x:v>data_base</x:v>
      </x:c>
      <x:c r="B6" s="6" t="str">
        <x:v>2026-06-01</x:v>
      </x:c>
      <x:c r="C6" s="6"/>
      <x:c r="D6" s="30"/>
    </x:row>
    <x:row r="7" ht="22" customHeight="1">
      <x:c r="A7" s="28" t="str">
        <x:v>registros_esperados</x:v>
      </x:c>
      <x:c r="B7" s="6" t="n">
        <x:v>2</x:v>
      </x:c>
      <x:c r="C7" s="6"/>
      <x:c r="D7" s="30"/>
    </x:row>
    <x:row r="8" ht="22" customHeight="1">
      <x:c r="A8" s="31" t="str">
        <x:v>dados_reais</x:v>
      </x:c>
      <x:c r="B8" s="32" t="str">
        <x:v>NÃO — fixture totalmente sintética</x:v>
      </x:c>
      <x:c r="C8" s="32"/>
      <x:c r="D8" s="33"/>
    </x:row>
  </x:sheetData>
  <x:pageMargins left="0.7" right="0.7" top="0.75" bottom="0.75" header="0.3" footer="0.3"/>
</x:worksheet>
</file>