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1510" yWindow="225" windowWidth="21240" windowHeight="10485" activeTab="1"/>
  </bookViews>
  <sheets>
    <sheet name="Modelo II - BR" sheetId="13" r:id="rId1"/>
    <sheet name="Modelo II - Subsidiária" sheetId="15" r:id="rId2"/>
    <sheet name="Plan2" sheetId="2" r:id="rId3"/>
    <sheet name="Plan3" sheetId="3" r:id="rId4"/>
  </sheets>
  <calcPr calcId="145621"/>
</workbook>
</file>

<file path=xl/calcChain.xml><?xml version="1.0" encoding="utf-8"?>
<calcChain xmlns="http://schemas.openxmlformats.org/spreadsheetml/2006/main">
  <c r="F38" i="13" l="1"/>
  <c r="G38" i="13"/>
  <c r="H38" i="13"/>
  <c r="I38" i="13"/>
  <c r="E57" i="13"/>
  <c r="I143" i="15" l="1"/>
  <c r="I142" i="15"/>
  <c r="H141" i="15"/>
  <c r="H140" i="15" s="1"/>
  <c r="G141" i="15"/>
  <c r="G140" i="15" s="1"/>
  <c r="F141" i="15"/>
  <c r="E141" i="15"/>
  <c r="I141" i="15" s="1"/>
  <c r="I146" i="15"/>
  <c r="I145" i="15"/>
  <c r="H144" i="15"/>
  <c r="G144" i="15"/>
  <c r="F144" i="15"/>
  <c r="F140" i="15" s="1"/>
  <c r="E144" i="15"/>
  <c r="E140" i="15" s="1"/>
  <c r="I139" i="15"/>
  <c r="I138" i="15"/>
  <c r="H137" i="15"/>
  <c r="G137" i="15"/>
  <c r="F137" i="15"/>
  <c r="E137" i="15"/>
  <c r="I136" i="15"/>
  <c r="I135" i="15"/>
  <c r="E134" i="15"/>
  <c r="H134" i="15"/>
  <c r="G134" i="15"/>
  <c r="F134" i="15"/>
  <c r="I134" i="15" s="1"/>
  <c r="I133" i="15"/>
  <c r="I132" i="15"/>
  <c r="I131" i="15"/>
  <c r="I130" i="15"/>
  <c r="I129" i="15"/>
  <c r="I128" i="15"/>
  <c r="I127" i="15"/>
  <c r="I126" i="15"/>
  <c r="I125" i="15"/>
  <c r="H124" i="15"/>
  <c r="G124" i="15"/>
  <c r="F124" i="15"/>
  <c r="E124" i="15"/>
  <c r="I123" i="15"/>
  <c r="I122" i="15"/>
  <c r="I121" i="15"/>
  <c r="H120" i="15"/>
  <c r="G120" i="15"/>
  <c r="F120" i="15"/>
  <c r="E120" i="15"/>
  <c r="I120" i="15" s="1"/>
  <c r="I152" i="15"/>
  <c r="I153" i="15"/>
  <c r="H148" i="15"/>
  <c r="G148" i="15"/>
  <c r="F148" i="15"/>
  <c r="E148" i="15"/>
  <c r="I148" i="15" s="1"/>
  <c r="F151" i="15"/>
  <c r="G151" i="15"/>
  <c r="H151" i="15"/>
  <c r="E151" i="15"/>
  <c r="I156" i="15"/>
  <c r="G147" i="15"/>
  <c r="H147" i="15"/>
  <c r="E156" i="15"/>
  <c r="I99" i="15"/>
  <c r="I98" i="15"/>
  <c r="I97" i="15"/>
  <c r="I96" i="15"/>
  <c r="I95" i="15"/>
  <c r="I93" i="15"/>
  <c r="I92" i="15"/>
  <c r="I91" i="15"/>
  <c r="F94" i="15"/>
  <c r="G94" i="15"/>
  <c r="H94" i="15"/>
  <c r="E94" i="15"/>
  <c r="F90" i="15"/>
  <c r="G90" i="15"/>
  <c r="H90" i="15"/>
  <c r="E90" i="15"/>
  <c r="F89" i="15"/>
  <c r="G89" i="15"/>
  <c r="G88" i="15" s="1"/>
  <c r="H89" i="15"/>
  <c r="E89" i="15"/>
  <c r="F88" i="15"/>
  <c r="F100" i="15"/>
  <c r="G100" i="15"/>
  <c r="H100" i="15"/>
  <c r="E100" i="15"/>
  <c r="I104" i="15"/>
  <c r="I103" i="15"/>
  <c r="I102" i="15"/>
  <c r="I101" i="15"/>
  <c r="I107" i="15"/>
  <c r="I106" i="15"/>
  <c r="I113" i="15"/>
  <c r="I112" i="15"/>
  <c r="I111" i="15"/>
  <c r="I110" i="15"/>
  <c r="I109" i="15"/>
  <c r="G105" i="15"/>
  <c r="F108" i="15"/>
  <c r="F105" i="15" s="1"/>
  <c r="G108" i="15"/>
  <c r="H108" i="15"/>
  <c r="H105" i="15" s="1"/>
  <c r="E108" i="15"/>
  <c r="E105" i="15" s="1"/>
  <c r="F114" i="15"/>
  <c r="G114" i="15"/>
  <c r="H114" i="15"/>
  <c r="E114" i="15"/>
  <c r="I116" i="15"/>
  <c r="I115" i="15"/>
  <c r="I117" i="15"/>
  <c r="I46" i="15"/>
  <c r="F42" i="15"/>
  <c r="G42" i="15"/>
  <c r="H42" i="15"/>
  <c r="E42" i="15"/>
  <c r="I45" i="15"/>
  <c r="I44" i="15"/>
  <c r="I43" i="15"/>
  <c r="I58" i="15"/>
  <c r="I57" i="15"/>
  <c r="I56" i="15"/>
  <c r="H55" i="15"/>
  <c r="G55" i="15"/>
  <c r="F55" i="15"/>
  <c r="E55" i="15"/>
  <c r="I54" i="15"/>
  <c r="I53" i="15"/>
  <c r="I52" i="15"/>
  <c r="H51" i="15"/>
  <c r="G51" i="15"/>
  <c r="F51" i="15"/>
  <c r="E51" i="15"/>
  <c r="I50" i="15"/>
  <c r="I49" i="15"/>
  <c r="I48" i="15"/>
  <c r="H47" i="15"/>
  <c r="G47" i="15"/>
  <c r="F47" i="15"/>
  <c r="E47" i="15"/>
  <c r="I41" i="15"/>
  <c r="I40" i="15"/>
  <c r="I39" i="15"/>
  <c r="F38" i="15"/>
  <c r="G38" i="15"/>
  <c r="G36" i="15" s="1"/>
  <c r="H38" i="15"/>
  <c r="E38" i="15"/>
  <c r="I87" i="15"/>
  <c r="I86" i="15"/>
  <c r="I85" i="15"/>
  <c r="I84" i="15"/>
  <c r="I83" i="15"/>
  <c r="I82" i="15"/>
  <c r="I81" i="15"/>
  <c r="F80" i="15"/>
  <c r="G80" i="15"/>
  <c r="H80" i="15"/>
  <c r="E80" i="15"/>
  <c r="E78" i="13"/>
  <c r="E77" i="13" s="1"/>
  <c r="F77" i="15"/>
  <c r="G77" i="15"/>
  <c r="H77" i="15"/>
  <c r="E77" i="15"/>
  <c r="F73" i="15"/>
  <c r="G73" i="15"/>
  <c r="H73" i="15"/>
  <c r="E73" i="15"/>
  <c r="E70" i="15" s="1"/>
  <c r="E69" i="15" s="1"/>
  <c r="I76" i="15"/>
  <c r="I75" i="15"/>
  <c r="I74" i="15"/>
  <c r="I79" i="15"/>
  <c r="I78" i="15"/>
  <c r="G70" i="15"/>
  <c r="G69" i="15" s="1"/>
  <c r="H70" i="15"/>
  <c r="I72" i="15"/>
  <c r="I71" i="15"/>
  <c r="I68" i="15"/>
  <c r="I67" i="15"/>
  <c r="H66" i="15"/>
  <c r="G66" i="15"/>
  <c r="F66" i="15"/>
  <c r="E66" i="15"/>
  <c r="I65" i="15"/>
  <c r="I64" i="15"/>
  <c r="F63" i="15"/>
  <c r="G63" i="15"/>
  <c r="H63" i="15"/>
  <c r="E63" i="15"/>
  <c r="I62" i="15"/>
  <c r="I61" i="15"/>
  <c r="I60" i="15"/>
  <c r="H59" i="15"/>
  <c r="G59" i="15"/>
  <c r="F59" i="15"/>
  <c r="E59" i="15"/>
  <c r="I37" i="15"/>
  <c r="I35" i="15"/>
  <c r="I34" i="15"/>
  <c r="I33" i="15"/>
  <c r="H32" i="15"/>
  <c r="G32" i="15"/>
  <c r="F32" i="15"/>
  <c r="E32" i="15"/>
  <c r="I31" i="15"/>
  <c r="I30" i="15"/>
  <c r="I29" i="15"/>
  <c r="H28" i="15"/>
  <c r="G28" i="15"/>
  <c r="G23" i="15" s="1"/>
  <c r="F28" i="15"/>
  <c r="E28" i="15"/>
  <c r="I26" i="15"/>
  <c r="I27" i="15"/>
  <c r="I25" i="15"/>
  <c r="F24" i="15"/>
  <c r="G24" i="15"/>
  <c r="H24" i="15"/>
  <c r="H23" i="15" s="1"/>
  <c r="E24" i="15"/>
  <c r="I20" i="15"/>
  <c r="I19" i="15"/>
  <c r="I18" i="15"/>
  <c r="I17" i="15"/>
  <c r="I15" i="15"/>
  <c r="I14" i="15"/>
  <c r="I12" i="15"/>
  <c r="I11" i="15"/>
  <c r="I10" i="15"/>
  <c r="I9" i="15"/>
  <c r="I8" i="15"/>
  <c r="G7" i="15"/>
  <c r="H7" i="15"/>
  <c r="F7" i="15"/>
  <c r="E7" i="15"/>
  <c r="H13" i="15"/>
  <c r="G13" i="15"/>
  <c r="F13" i="15"/>
  <c r="E13" i="15"/>
  <c r="F16" i="15"/>
  <c r="G16" i="15"/>
  <c r="H16" i="15"/>
  <c r="E16" i="15"/>
  <c r="I6" i="15"/>
  <c r="I5" i="15"/>
  <c r="J131" i="13"/>
  <c r="J130" i="13"/>
  <c r="J129" i="13"/>
  <c r="F128" i="13"/>
  <c r="G128" i="13"/>
  <c r="H128" i="13"/>
  <c r="I128" i="13"/>
  <c r="E128" i="13"/>
  <c r="J154" i="13"/>
  <c r="J153" i="13"/>
  <c r="I152" i="13"/>
  <c r="H152" i="13"/>
  <c r="G152" i="13"/>
  <c r="F152" i="13"/>
  <c r="E152" i="13"/>
  <c r="J151" i="13"/>
  <c r="J150" i="13"/>
  <c r="I149" i="13"/>
  <c r="H149" i="13"/>
  <c r="G149" i="13"/>
  <c r="F149" i="13"/>
  <c r="E149" i="13"/>
  <c r="J147" i="13"/>
  <c r="J146" i="13"/>
  <c r="I145" i="13"/>
  <c r="H145" i="13"/>
  <c r="G145" i="13"/>
  <c r="F145" i="13"/>
  <c r="E145" i="13"/>
  <c r="J141" i="13"/>
  <c r="J140" i="13"/>
  <c r="J139" i="13"/>
  <c r="J138" i="13"/>
  <c r="J137" i="13"/>
  <c r="J136" i="13"/>
  <c r="J135" i="13"/>
  <c r="J134" i="13"/>
  <c r="J133" i="13"/>
  <c r="J144" i="13"/>
  <c r="J143" i="13"/>
  <c r="F142" i="13"/>
  <c r="G142" i="13"/>
  <c r="H142" i="13"/>
  <c r="I142" i="13"/>
  <c r="E142" i="13"/>
  <c r="E132" i="13"/>
  <c r="F132" i="13"/>
  <c r="G132" i="13"/>
  <c r="H132" i="13"/>
  <c r="I132" i="13"/>
  <c r="J165" i="13"/>
  <c r="J161" i="13"/>
  <c r="J160" i="13"/>
  <c r="J158" i="13"/>
  <c r="J157" i="13"/>
  <c r="F156" i="13"/>
  <c r="G156" i="13"/>
  <c r="H156" i="13"/>
  <c r="I156" i="13"/>
  <c r="E156" i="13"/>
  <c r="F159" i="13"/>
  <c r="G159" i="13"/>
  <c r="H159" i="13"/>
  <c r="I159" i="13"/>
  <c r="E159" i="13"/>
  <c r="E164" i="13"/>
  <c r="F122" i="13"/>
  <c r="G122" i="13"/>
  <c r="H122" i="13"/>
  <c r="I122" i="13"/>
  <c r="E122" i="13"/>
  <c r="J125" i="13"/>
  <c r="J124" i="13"/>
  <c r="J123" i="13"/>
  <c r="J121" i="13"/>
  <c r="J120" i="13"/>
  <c r="J119" i="13"/>
  <c r="J118" i="13"/>
  <c r="J117" i="13"/>
  <c r="F116" i="13"/>
  <c r="F113" i="13" s="1"/>
  <c r="G116" i="13"/>
  <c r="G113" i="13" s="1"/>
  <c r="H116" i="13"/>
  <c r="H113" i="13" s="1"/>
  <c r="I116" i="13"/>
  <c r="I113" i="13" s="1"/>
  <c r="E116" i="13"/>
  <c r="E113" i="13" s="1"/>
  <c r="J115" i="13"/>
  <c r="J114" i="13"/>
  <c r="J112" i="13"/>
  <c r="J111" i="13"/>
  <c r="J110" i="13"/>
  <c r="J109" i="13"/>
  <c r="F108" i="13"/>
  <c r="G108" i="13"/>
  <c r="H108" i="13"/>
  <c r="I108" i="13"/>
  <c r="E108" i="13"/>
  <c r="J107" i="13"/>
  <c r="J106" i="13"/>
  <c r="J105" i="13"/>
  <c r="J104" i="13"/>
  <c r="J103" i="13"/>
  <c r="J101" i="13"/>
  <c r="J100" i="13"/>
  <c r="J99" i="13"/>
  <c r="F102" i="13"/>
  <c r="G102" i="13"/>
  <c r="H102" i="13"/>
  <c r="I102" i="13"/>
  <c r="E102" i="13"/>
  <c r="F98" i="13"/>
  <c r="F97" i="13" s="1"/>
  <c r="G98" i="13"/>
  <c r="G97" i="13" s="1"/>
  <c r="H98" i="13"/>
  <c r="H97" i="13" s="1"/>
  <c r="I98" i="13"/>
  <c r="I97" i="13" s="1"/>
  <c r="E98" i="13"/>
  <c r="E97" i="13" s="1"/>
  <c r="F81" i="13"/>
  <c r="G81" i="13"/>
  <c r="H81" i="13"/>
  <c r="I81" i="13"/>
  <c r="E81" i="13"/>
  <c r="J87" i="13"/>
  <c r="J86" i="13"/>
  <c r="I85" i="13"/>
  <c r="I78" i="13" s="1"/>
  <c r="H85" i="13"/>
  <c r="G85" i="13"/>
  <c r="G78" i="13" s="1"/>
  <c r="F85" i="13"/>
  <c r="E85" i="13"/>
  <c r="I88" i="13"/>
  <c r="H88" i="13"/>
  <c r="G88" i="13"/>
  <c r="F88" i="13"/>
  <c r="E88" i="13"/>
  <c r="J95" i="13"/>
  <c r="J94" i="13"/>
  <c r="J93" i="13"/>
  <c r="J92" i="13"/>
  <c r="J91" i="13"/>
  <c r="J90" i="13"/>
  <c r="J89" i="13"/>
  <c r="J84" i="13"/>
  <c r="J83" i="13"/>
  <c r="J82" i="13"/>
  <c r="J80" i="13"/>
  <c r="J79" i="13"/>
  <c r="I74" i="13"/>
  <c r="H74" i="13"/>
  <c r="G74" i="13"/>
  <c r="F74" i="13"/>
  <c r="E74" i="13"/>
  <c r="F71" i="13"/>
  <c r="G71" i="13"/>
  <c r="H71" i="13"/>
  <c r="I71" i="13"/>
  <c r="E71" i="13"/>
  <c r="J76" i="13"/>
  <c r="J75" i="13"/>
  <c r="J73" i="13"/>
  <c r="J72" i="13"/>
  <c r="J70" i="13"/>
  <c r="J69" i="13"/>
  <c r="J68" i="13"/>
  <c r="J66" i="13"/>
  <c r="J65" i="13"/>
  <c r="J64" i="13"/>
  <c r="J60" i="13"/>
  <c r="J59" i="13"/>
  <c r="J58" i="13"/>
  <c r="I57" i="13"/>
  <c r="H57" i="13"/>
  <c r="G57" i="13"/>
  <c r="F57" i="13"/>
  <c r="J56" i="13"/>
  <c r="J55" i="13"/>
  <c r="J54" i="13"/>
  <c r="I53" i="13"/>
  <c r="H53" i="13"/>
  <c r="G53" i="13"/>
  <c r="F53" i="13"/>
  <c r="E53" i="13"/>
  <c r="J52" i="13"/>
  <c r="J51" i="13"/>
  <c r="J50" i="13"/>
  <c r="I49" i="13"/>
  <c r="H49" i="13"/>
  <c r="G49" i="13"/>
  <c r="F49" i="13"/>
  <c r="E49" i="13"/>
  <c r="J46" i="13"/>
  <c r="J47" i="13"/>
  <c r="J48" i="13"/>
  <c r="J45" i="13"/>
  <c r="F44" i="13"/>
  <c r="G44" i="13"/>
  <c r="H44" i="13"/>
  <c r="I44" i="13"/>
  <c r="E44" i="13"/>
  <c r="I40" i="13"/>
  <c r="H40" i="13"/>
  <c r="G40" i="13"/>
  <c r="F40" i="13"/>
  <c r="E40" i="13"/>
  <c r="J43" i="13"/>
  <c r="J42" i="13"/>
  <c r="J41" i="13"/>
  <c r="I80" i="15" l="1"/>
  <c r="I55" i="15"/>
  <c r="H88" i="15"/>
  <c r="F147" i="15"/>
  <c r="F119" i="15" s="1"/>
  <c r="I16" i="15"/>
  <c r="I13" i="15"/>
  <c r="I24" i="15"/>
  <c r="I66" i="15"/>
  <c r="I42" i="15"/>
  <c r="G4" i="15"/>
  <c r="I63" i="15"/>
  <c r="I73" i="15"/>
  <c r="H36" i="15"/>
  <c r="I94" i="15"/>
  <c r="I151" i="15"/>
  <c r="I124" i="15"/>
  <c r="I144" i="15"/>
  <c r="I140" i="15"/>
  <c r="I137" i="15"/>
  <c r="G119" i="15"/>
  <c r="H119" i="15"/>
  <c r="E147" i="15"/>
  <c r="I47" i="15"/>
  <c r="E88" i="15"/>
  <c r="I90" i="15"/>
  <c r="I89" i="15"/>
  <c r="I51" i="15"/>
  <c r="I100" i="15"/>
  <c r="I38" i="15"/>
  <c r="F36" i="15"/>
  <c r="I32" i="15"/>
  <c r="I28" i="15"/>
  <c r="F23" i="15"/>
  <c r="E23" i="15"/>
  <c r="F70" i="15"/>
  <c r="F69" i="15" s="1"/>
  <c r="I77" i="15"/>
  <c r="I105" i="15"/>
  <c r="I108" i="15"/>
  <c r="I114" i="15"/>
  <c r="E36" i="15"/>
  <c r="G22" i="15"/>
  <c r="H69" i="15"/>
  <c r="I59" i="15"/>
  <c r="I7" i="15"/>
  <c r="E4" i="15"/>
  <c r="F4" i="15"/>
  <c r="H4" i="15"/>
  <c r="G155" i="13"/>
  <c r="H96" i="13"/>
  <c r="I77" i="13"/>
  <c r="H148" i="13"/>
  <c r="I148" i="13"/>
  <c r="H78" i="13"/>
  <c r="H77" i="13" s="1"/>
  <c r="J108" i="13"/>
  <c r="J40" i="13"/>
  <c r="J156" i="13"/>
  <c r="J57" i="13"/>
  <c r="J88" i="13"/>
  <c r="E155" i="13"/>
  <c r="H155" i="13"/>
  <c r="J132" i="13"/>
  <c r="J85" i="13"/>
  <c r="F155" i="13"/>
  <c r="J74" i="13"/>
  <c r="F78" i="13"/>
  <c r="F77" i="13" s="1"/>
  <c r="J53" i="13"/>
  <c r="J102" i="13"/>
  <c r="G96" i="13"/>
  <c r="F96" i="13"/>
  <c r="J128" i="13"/>
  <c r="G148" i="13"/>
  <c r="G127" i="13" s="1"/>
  <c r="E148" i="13"/>
  <c r="F148" i="13"/>
  <c r="J152" i="13"/>
  <c r="J149" i="13"/>
  <c r="J164" i="13"/>
  <c r="J145" i="13"/>
  <c r="J142" i="13"/>
  <c r="I155" i="13"/>
  <c r="I127" i="13" s="1"/>
  <c r="J159" i="13"/>
  <c r="J116" i="13"/>
  <c r="J122" i="13"/>
  <c r="J113" i="13"/>
  <c r="I96" i="13"/>
  <c r="J98" i="13"/>
  <c r="E96" i="13"/>
  <c r="J97" i="13"/>
  <c r="J81" i="13"/>
  <c r="G77" i="13"/>
  <c r="J71" i="13"/>
  <c r="J49" i="13"/>
  <c r="J44" i="13"/>
  <c r="I147" i="15" l="1"/>
  <c r="I88" i="15"/>
  <c r="E119" i="15"/>
  <c r="I119" i="15" s="1"/>
  <c r="I36" i="15"/>
  <c r="F22" i="15"/>
  <c r="I23" i="15"/>
  <c r="I70" i="15"/>
  <c r="I69" i="15"/>
  <c r="E22" i="15"/>
  <c r="H22" i="15"/>
  <c r="I4" i="15"/>
  <c r="H127" i="13"/>
  <c r="F127" i="13"/>
  <c r="J78" i="13"/>
  <c r="E127" i="13"/>
  <c r="J155" i="13"/>
  <c r="J148" i="13"/>
  <c r="J96" i="13"/>
  <c r="J77" i="13"/>
  <c r="I22" i="15" l="1"/>
  <c r="J127" i="13"/>
  <c r="F67" i="13" l="1"/>
  <c r="G67" i="13"/>
  <c r="H67" i="13"/>
  <c r="I67" i="13"/>
  <c r="E67" i="13"/>
  <c r="F63" i="13"/>
  <c r="G63" i="13"/>
  <c r="H63" i="13"/>
  <c r="I63" i="13"/>
  <c r="E63" i="13"/>
  <c r="J61" i="13"/>
  <c r="E38" i="13"/>
  <c r="J38" i="13" s="1"/>
  <c r="J39" i="13"/>
  <c r="J37" i="13"/>
  <c r="J36" i="13"/>
  <c r="J35" i="13"/>
  <c r="J33" i="13"/>
  <c r="J32" i="13"/>
  <c r="J31" i="13"/>
  <c r="J28" i="13"/>
  <c r="J29" i="13"/>
  <c r="J27" i="13"/>
  <c r="F34" i="13"/>
  <c r="G34" i="13"/>
  <c r="H34" i="13"/>
  <c r="I34" i="13"/>
  <c r="E34" i="13"/>
  <c r="F26" i="13"/>
  <c r="G26" i="13"/>
  <c r="H26" i="13"/>
  <c r="I26" i="13"/>
  <c r="F30" i="13"/>
  <c r="G30" i="13"/>
  <c r="H30" i="13"/>
  <c r="I30" i="13"/>
  <c r="E30" i="13"/>
  <c r="E26" i="13"/>
  <c r="H13" i="13"/>
  <c r="H20" i="13"/>
  <c r="H16" i="13"/>
  <c r="H7" i="13"/>
  <c r="J22" i="13"/>
  <c r="J21" i="13"/>
  <c r="J18" i="13"/>
  <c r="J17" i="13"/>
  <c r="J15" i="13"/>
  <c r="J14" i="13"/>
  <c r="J19" i="13"/>
  <c r="J9" i="13"/>
  <c r="J10" i="13"/>
  <c r="J11" i="13"/>
  <c r="J12" i="13"/>
  <c r="J8" i="13"/>
  <c r="J6" i="13"/>
  <c r="J5" i="13"/>
  <c r="F16" i="13"/>
  <c r="F20" i="13"/>
  <c r="G20" i="13"/>
  <c r="I20" i="13"/>
  <c r="E20" i="13"/>
  <c r="G16" i="13"/>
  <c r="I16" i="13"/>
  <c r="E16" i="13"/>
  <c r="F13" i="13"/>
  <c r="G13" i="13"/>
  <c r="I13" i="13"/>
  <c r="E13" i="13"/>
  <c r="F7" i="13"/>
  <c r="G7" i="13"/>
  <c r="I7" i="13"/>
  <c r="E7" i="13"/>
  <c r="G25" i="13" l="1"/>
  <c r="J30" i="13"/>
  <c r="F25" i="13"/>
  <c r="I62" i="13"/>
  <c r="I25" i="13"/>
  <c r="H62" i="13"/>
  <c r="J26" i="13"/>
  <c r="E25" i="13"/>
  <c r="J16" i="13"/>
  <c r="J7" i="13"/>
  <c r="E62" i="13"/>
  <c r="G62" i="13"/>
  <c r="G24" i="13" s="1"/>
  <c r="J63" i="13"/>
  <c r="F62" i="13"/>
  <c r="J67" i="13"/>
  <c r="J34" i="13"/>
  <c r="H25" i="13"/>
  <c r="H4" i="13"/>
  <c r="J13" i="13"/>
  <c r="J20" i="13"/>
  <c r="G4" i="13"/>
  <c r="F4" i="13"/>
  <c r="I4" i="13"/>
  <c r="E4" i="13"/>
  <c r="H24" i="13" l="1"/>
  <c r="J25" i="13"/>
  <c r="I24" i="13"/>
  <c r="E24" i="13"/>
  <c r="J62" i="13"/>
  <c r="F24" i="13"/>
  <c r="J4" i="13"/>
  <c r="J24" i="13" l="1"/>
</calcChain>
</file>

<file path=xl/sharedStrings.xml><?xml version="1.0" encoding="utf-8"?>
<sst xmlns="http://schemas.openxmlformats.org/spreadsheetml/2006/main" count="1527" uniqueCount="699">
  <si>
    <t>Moeda local</t>
  </si>
  <si>
    <t>Item</t>
  </si>
  <si>
    <t>Moeda:</t>
  </si>
  <si>
    <t>Real</t>
  </si>
  <si>
    <t>Estoque de Ativos de Alta Liquidez</t>
  </si>
  <si>
    <t>Dinheiro em espécie</t>
  </si>
  <si>
    <t>Títulos Soberanos e Similares</t>
  </si>
  <si>
    <t>Ações líquidas de empresas não financeiras</t>
  </si>
  <si>
    <t>SAÍDAS DE CAIXA</t>
  </si>
  <si>
    <t>Captações de Varejo - Pessoa Física</t>
  </si>
  <si>
    <t>Captações garantidas por seguro-depósito</t>
  </si>
  <si>
    <t>Captações de Varejo - Pessoa Jurídica de Pequeno Porte</t>
  </si>
  <si>
    <t>Captações de Atacado não Colateralizadas ou com Colateral de Emissão do Próprio Grupo Financeiro</t>
  </si>
  <si>
    <t>Depósitos captados de cooperativas filiadas</t>
  </si>
  <si>
    <t>Captações de empresas não financeiras (corporates), governos, bancos centrais, bancos multilaterais de desenvolvimento e demais entidades do setor público</t>
  </si>
  <si>
    <t>Captações de ligadas</t>
  </si>
  <si>
    <t>Captações de outras pessoas jurídicas</t>
  </si>
  <si>
    <t>Captações Colateralizadas e REPO com demais colaterais</t>
  </si>
  <si>
    <t>Obrigações por Empréstimos, Trade Finance e Repasses</t>
  </si>
  <si>
    <t>Trade Finance - a liberar a clientes</t>
  </si>
  <si>
    <r>
      <t xml:space="preserve">Pagamento ao provedor de </t>
    </r>
    <r>
      <rPr>
        <b/>
        <i/>
        <sz val="10"/>
        <rFont val="Calibri"/>
        <family val="2"/>
        <scheme val="minor"/>
      </rPr>
      <t>funding</t>
    </r>
  </si>
  <si>
    <t>Obrigações por Cessão de Créditos</t>
  </si>
  <si>
    <r>
      <t xml:space="preserve">Linhas de crédito e de liquidez </t>
    </r>
    <r>
      <rPr>
        <b/>
        <i/>
        <sz val="10"/>
        <color theme="1"/>
        <rFont val="Calibri"/>
        <family val="2"/>
        <scheme val="minor"/>
      </rPr>
      <t>revogáveis</t>
    </r>
    <r>
      <rPr>
        <i/>
        <sz val="10"/>
        <color theme="1"/>
        <rFont val="Calibri"/>
        <family val="2"/>
        <scheme val="minor"/>
      </rPr>
      <t xml:space="preserve"> unilateralmente</t>
    </r>
  </si>
  <si>
    <t>Entradas de Caixa</t>
  </si>
  <si>
    <t>Resgates de Títulos e Valores Mobiliários (TVMs)</t>
  </si>
  <si>
    <t>Recebimentos por Operações com Derivativos</t>
  </si>
  <si>
    <t>Moeda 1</t>
  </si>
  <si>
    <t>Moeda 2</t>
  </si>
  <si>
    <t>De clientes com depósitos totais &lt; R$ 1,5 milhão</t>
  </si>
  <si>
    <t>De clientes com depósitos totais &gt;= R$ 1,5 milhão</t>
  </si>
  <si>
    <t>Com cobertura integral de seguro depósito</t>
  </si>
  <si>
    <t>Captações via DPGE</t>
  </si>
  <si>
    <t>Obrigações por emissão de TVMs</t>
  </si>
  <si>
    <t>Operações estruturadas e certificados de operações estruturadas</t>
  </si>
  <si>
    <r>
      <t>Liquidação de Operações estruturadas nos próximos</t>
    </r>
    <r>
      <rPr>
        <b/>
        <sz val="10"/>
        <color theme="1"/>
        <rFont val="Calibri"/>
        <family val="2"/>
        <scheme val="minor"/>
      </rPr>
      <t xml:space="preserve"> 30 dias</t>
    </r>
  </si>
  <si>
    <t>Certificado de operações estruturas com vencimento em até 30 dias</t>
  </si>
  <si>
    <t>Aplicações direcionadas - empréstimos e financiamentos a liberar relativos a crédito direcionado</t>
  </si>
  <si>
    <t>Demais empréstimos e financiamento a liberar</t>
  </si>
  <si>
    <t>Operações de comércio exterior</t>
  </si>
  <si>
    <t>Valores a liberar em novas operações de financiamento de comércio exterior e ou a depositar em bancos correspondentes</t>
  </si>
  <si>
    <t>Repasses</t>
  </si>
  <si>
    <t>Repasse a liberar ao cliente</t>
  </si>
  <si>
    <t>Pagamentos contratuais nos próximos 30 dias referentes a captações sem vencimento ou com vencimento acima de 30 dias</t>
  </si>
  <si>
    <t>Demais saídas de caixa contratuais</t>
  </si>
  <si>
    <t>Saídas de caixa decorrentes de operações com derivativos</t>
  </si>
  <si>
    <t>Obrigações por operações com derivativos</t>
  </si>
  <si>
    <t>Liquidação de derivativos negociados em câmaras como contraparte central (operações passíveis de liquidação em 30 dias)</t>
  </si>
  <si>
    <t>Liquidação de demais derivativos (operações passíveis de liquidação em 30 dias)</t>
  </si>
  <si>
    <t>Exigências adicionais de colaterais</t>
  </si>
  <si>
    <t>Decorrente de cláusula de gatilho (rebaixamento da classificação de crédito da instituição)</t>
  </si>
  <si>
    <t>Decorrente de excesso de garantias depositadas na instituição</t>
  </si>
  <si>
    <t>Chamada de margem ainda não depositada</t>
  </si>
  <si>
    <t>Linhas de crédito e de liquidez irrevogáveis</t>
  </si>
  <si>
    <t>Clientes de varejo</t>
  </si>
  <si>
    <t>Clientes: empresas não financeiras, governos, bancos centrais, bancos de desenvolvimento multilaterais e demais entidades do setor público</t>
  </si>
  <si>
    <t>Clientes: instituições financeiras, seguradoras, resseguradoras, administradora de consórcio, fundos, câmaras de compensação e liquidação, instituições fiduciárias e outras entidades de investimento coletivo</t>
  </si>
  <si>
    <t>Demais contrapartes</t>
  </si>
  <si>
    <t>Saídas de caixa contingentes</t>
  </si>
  <si>
    <t>Fianças e avais</t>
  </si>
  <si>
    <t>Demais saídas de caixa contingentes</t>
  </si>
  <si>
    <t>Empréstimos e financiamentos adimplentes a receber</t>
  </si>
  <si>
    <t>Valores a receber de clientes referentes a operações de repasse</t>
  </si>
  <si>
    <t>Valores a receber de clientes referentes a créditos cedidos (cobrança banco cedente)</t>
  </si>
  <si>
    <t>Valores a receber de clientes referentes a operações de financiamento de comércio exterior (trade finance)</t>
  </si>
  <si>
    <t>Depósitos da instituição</t>
  </si>
  <si>
    <t>Outras entradas de caixa</t>
  </si>
  <si>
    <t>Decorrentes de operações de cessão de crédito</t>
  </si>
  <si>
    <t>Liberação de ativos líquidos</t>
  </si>
  <si>
    <t>Saldo excedente ao limite do seguro-depósito</t>
  </si>
  <si>
    <r>
      <t xml:space="preserve">Depósitos da instituição relativos a </t>
    </r>
    <r>
      <rPr>
        <i/>
        <sz val="10"/>
        <color theme="1"/>
        <rFont val="Calibri"/>
        <family val="2"/>
        <scheme val="minor"/>
      </rPr>
      <t>trade finance</t>
    </r>
  </si>
  <si>
    <t>Total</t>
  </si>
  <si>
    <t>Títulos privados emitidos por instituições financeiras</t>
  </si>
  <si>
    <r>
      <t xml:space="preserve">Captações Colateralizadas e Operações Compromissadas (REPO)
</t>
    </r>
    <r>
      <rPr>
        <i/>
        <sz val="10"/>
        <color theme="1"/>
        <rFont val="Calibri"/>
        <family val="2"/>
        <scheme val="minor"/>
      </rPr>
      <t>(colateral da IF ou de terceiros obtidos em operações compromissadas com vencimento acima de 30 dias)</t>
    </r>
  </si>
  <si>
    <r>
      <t xml:space="preserve">Captações Colateralizadas e REPO com colateral </t>
    </r>
    <r>
      <rPr>
        <b/>
        <sz val="10"/>
        <color theme="1"/>
        <rFont val="Calibri"/>
        <family val="2"/>
        <scheme val="minor"/>
      </rPr>
      <t>ATIVOS DE ALTA LIQUIDEZ</t>
    </r>
  </si>
  <si>
    <t>Vinculação de ATIVOS DE ALTA LIQUIDEZ</t>
  </si>
  <si>
    <r>
      <t xml:space="preserve">Derivativos </t>
    </r>
    <r>
      <rPr>
        <b/>
        <sz val="10"/>
        <color theme="1"/>
        <rFont val="Calibri"/>
        <family val="2"/>
        <scheme val="minor"/>
      </rPr>
      <t>com</t>
    </r>
    <r>
      <rPr>
        <sz val="10"/>
        <color theme="1"/>
        <rFont val="Calibri"/>
        <family val="2"/>
        <scheme val="minor"/>
      </rPr>
      <t xml:space="preserve"> pagamento de ajustes diários</t>
    </r>
  </si>
  <si>
    <t>Ativos recebidos como colaterais, em aluguel ou em operações de swap de colateral - posição vendida</t>
  </si>
  <si>
    <t>Saldo total de fianças e avais prestados (Valor total desembolsável nos próximos 30 dias)</t>
  </si>
  <si>
    <t>2.1.10.4</t>
  </si>
  <si>
    <t>Empréstimos colateralizados por ATIVOS DE ALTA LIQUIDEZ</t>
  </si>
  <si>
    <r>
      <t xml:space="preserve">Empréstimos Colaterateralizados e Operações Compromissadas
</t>
    </r>
    <r>
      <rPr>
        <i/>
        <sz val="10"/>
        <rFont val="Calibri"/>
        <family val="2"/>
        <scheme val="minor"/>
      </rPr>
      <t>(operações em que o colateral não é reutilizado em operações compromissadas financiadas ou vendido em definitivo)</t>
    </r>
  </si>
  <si>
    <r>
      <t xml:space="preserve">Vencimento de TVMs </t>
    </r>
    <r>
      <rPr>
        <b/>
        <i/>
        <sz val="10"/>
        <color theme="1"/>
        <rFont val="Calibri"/>
        <family val="2"/>
        <scheme val="minor"/>
      </rPr>
      <t>não</t>
    </r>
    <r>
      <rPr>
        <i/>
        <sz val="10"/>
        <color theme="1"/>
        <rFont val="Calibri"/>
        <family val="2"/>
        <scheme val="minor"/>
      </rPr>
      <t xml:space="preserve"> subordinados e resgates e proventos referentes a cotas </t>
    </r>
    <r>
      <rPr>
        <b/>
        <i/>
        <sz val="10"/>
        <color theme="1"/>
        <rFont val="Calibri"/>
        <family val="2"/>
        <scheme val="minor"/>
      </rPr>
      <t>não</t>
    </r>
    <r>
      <rPr>
        <i/>
        <sz val="10"/>
        <color theme="1"/>
        <rFont val="Calibri"/>
        <family val="2"/>
        <scheme val="minor"/>
      </rPr>
      <t xml:space="preserve"> subordinadas de fundos de investimento</t>
    </r>
  </si>
  <si>
    <r>
      <t xml:space="preserve">Vencimento de TVMs subordinados e resgates e proventos referentes a cotas </t>
    </r>
    <r>
      <rPr>
        <i/>
        <sz val="10"/>
        <color theme="1"/>
        <rFont val="Calibri"/>
        <family val="2"/>
        <scheme val="minor"/>
      </rPr>
      <t>subordinadas de fundos de investimento</t>
    </r>
  </si>
  <si>
    <r>
      <t xml:space="preserve">Derivativos </t>
    </r>
    <r>
      <rPr>
        <b/>
        <i/>
        <sz val="10"/>
        <color theme="1"/>
        <rFont val="Calibri"/>
        <family val="2"/>
        <scheme val="minor"/>
      </rPr>
      <t>com</t>
    </r>
    <r>
      <rPr>
        <i/>
        <sz val="10"/>
        <color theme="1"/>
        <rFont val="Calibri"/>
        <family val="2"/>
        <scheme val="minor"/>
      </rPr>
      <t xml:space="preserve"> pagamento de ajustes diários</t>
    </r>
  </si>
  <si>
    <t>Ajustes a receber (derivativos negociados em câmaras como contraparte central)</t>
  </si>
  <si>
    <t>Ajustes a receber (demais derivativos)</t>
  </si>
  <si>
    <r>
      <t xml:space="preserve">Derivativos </t>
    </r>
    <r>
      <rPr>
        <b/>
        <i/>
        <sz val="10"/>
        <color theme="1"/>
        <rFont val="Calibri"/>
        <family val="2"/>
        <scheme val="minor"/>
      </rPr>
      <t xml:space="preserve">sem </t>
    </r>
    <r>
      <rPr>
        <i/>
        <sz val="10"/>
        <color theme="1"/>
        <rFont val="Calibri"/>
        <family val="2"/>
        <scheme val="minor"/>
      </rPr>
      <t>pagamento de ajustes diários</t>
    </r>
  </si>
  <si>
    <t>ATIVOS DE ALTA LIQUIDEZ a receber: operações já contratadas e cujos ativos não foram transferidos (swap de colaterais e aluguel de ativos)</t>
  </si>
  <si>
    <t>Demais ATIVOS DE ALTA LIQUIDEZ a serem liberados</t>
  </si>
  <si>
    <t>Trade Finance - vencimento de emissões e linhas</t>
  </si>
  <si>
    <t>Valor a direcionar e ou a recolher em bancos centrais nos próximos 30 dias</t>
  </si>
  <si>
    <t xml:space="preserve">Carteira de crédito elegível a garantia ao FGC </t>
  </si>
  <si>
    <t>Depósitos e captações de cooperativas filiadas</t>
  </si>
  <si>
    <t>Captações de pessoas ligadas</t>
  </si>
  <si>
    <t>Decorrente de ativos não considerados de Alta Liquidez depositados em garantia</t>
  </si>
  <si>
    <t>Decorrentes de possibilidade de substituição de colaterais considerados Ativos de Alta Liquidez depositados na IF por ativos não considerados de Alta Liquidez</t>
  </si>
  <si>
    <t>Emitidos diretamente no mercado</t>
  </si>
  <si>
    <t>Captações de não residentes</t>
  </si>
  <si>
    <t>Emitidos via intervenientes</t>
  </si>
  <si>
    <t>Não residentes</t>
  </si>
  <si>
    <t>Empréstimos colateralizadospor ativos não considerados como de ALTA LIQUIDEZ</t>
  </si>
  <si>
    <t>Maior garantia judicial prestada (desembolsável nos próximos 30 dias)</t>
  </si>
  <si>
    <t>Maior garantia não judicial prestada (desembolsável nos próximos 30 dias)</t>
  </si>
  <si>
    <t>Elegíveis à cobertura de seguro</t>
  </si>
  <si>
    <t>Não elegíveis à cobertura de seguro - Colateralizados ou lastreados</t>
  </si>
  <si>
    <t>Não elegíveis à cobertura de seguro e não colateralizados ou lastreados</t>
  </si>
  <si>
    <t>Captações de fundos geridos pela instituição</t>
  </si>
  <si>
    <r>
      <t xml:space="preserve">Liquidação de derivativos </t>
    </r>
    <r>
      <rPr>
        <b/>
        <sz val="10"/>
        <color theme="1"/>
        <rFont val="Calibri"/>
        <family val="2"/>
        <scheme val="minor"/>
      </rPr>
      <t>sem</t>
    </r>
    <r>
      <rPr>
        <b/>
        <i/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Calibri"/>
        <family val="2"/>
        <scheme val="minor"/>
      </rPr>
      <t>pagamento de ajustes diários</t>
    </r>
  </si>
  <si>
    <t>Empréstimos colateralizados por ATIVOS DE ALTA LIQUIDEZ não considerados no estoque de Ativos de Alta Liquidez da instituição</t>
  </si>
  <si>
    <t>Títulos públicos brasileiros: estoque em carteira própria da instituição e fundos exclusivos</t>
  </si>
  <si>
    <t>Títulos públicos brasileiros: excedente do montante depositado nas câmaras de liquidação</t>
  </si>
  <si>
    <t>Covered bonds não emitidos pela própria instituição e com classificação de crédito AA- ou superior</t>
  </si>
  <si>
    <t>Títulos de securitização RMBS, não emitidos pela própria instituição, com classificação de crédito igual ou melhor a AA</t>
  </si>
  <si>
    <t>Ajustes a pagar em operações passíveis de liquidação em 30 dias</t>
  </si>
  <si>
    <t>Ajustes a pagar em operações com vencimento acima de 30 dias</t>
  </si>
  <si>
    <t>Captações de Atacado não Colateralizadas</t>
  </si>
  <si>
    <t>Captações por acordo comercial</t>
  </si>
  <si>
    <r>
      <t xml:space="preserve">Captações Colateralizadas e Operações Compromissadas (REPO)
</t>
    </r>
    <r>
      <rPr>
        <i/>
        <sz val="10"/>
        <color theme="1"/>
        <rFont val="Calibri"/>
        <family val="2"/>
        <scheme val="minor"/>
      </rPr>
      <t>Com vencimento em até 30 dias e cujo colateral seja da IF ou de terceiros obtidos em operações compromissadas com vencimento acima de 30 dias</t>
    </r>
  </si>
  <si>
    <t>Cartão de crédito: fatura total a receber</t>
  </si>
  <si>
    <t>Cartão de crédito: pagamento esperado (%)</t>
  </si>
  <si>
    <t>Saídas de caixa contratuais</t>
  </si>
  <si>
    <t>Reservas livres e a liberar em bancos centrais</t>
  </si>
  <si>
    <t>Carteira de Crédito passível de cessão ou securitização</t>
  </si>
  <si>
    <t>Carteira de crédito elegível a cessão ou securitização por acordo comercial</t>
  </si>
  <si>
    <t xml:space="preserve">Valores a serem repassados a cessionários referentes a recebimentos de clientes </t>
  </si>
  <si>
    <t>Valores a serem repassados a cedentes referentes a aquisições de carteiras de crédito</t>
  </si>
  <si>
    <t>Instrumentos pós pagos: pagamentos a lojistas</t>
  </si>
  <si>
    <t>Valores a receber relativos a vendas de carteiras de crédito</t>
  </si>
  <si>
    <t>Valores a receber de instituições cedentes relativos a créditos adquiridos pela instituição e administrados pelos cedentes</t>
  </si>
  <si>
    <t>COLCHÃO DE LIQUIDEZ</t>
  </si>
  <si>
    <t>Moeda "n"</t>
  </si>
  <si>
    <t>Colchão mínimo de liquidez calculado pela IF</t>
  </si>
  <si>
    <t>Colchão de liquidez (ativos líquidos) na data base do DRL</t>
  </si>
  <si>
    <t>CONCENTRAÇÃO DA CAPTAÇÃO</t>
  </si>
  <si>
    <t>Moeda: Real</t>
  </si>
  <si>
    <t>Contrapartes</t>
  </si>
  <si>
    <t>Saldo total por cliente até 5 mil</t>
  </si>
  <si>
    <t>Saldo total por cliente  5-10 mil</t>
  </si>
  <si>
    <t>Saldo total por cliente  10-20 mil</t>
  </si>
  <si>
    <t>Saldo total por cliente  20-50 mil</t>
  </si>
  <si>
    <t>Saldo total por cliente  50-100 mil</t>
  </si>
  <si>
    <t>Saldo total por cliente  100-250 mil</t>
  </si>
  <si>
    <t>Saldo total por cliente  250-500 mil</t>
  </si>
  <si>
    <t>Saldo total por cliente  500-1.000 mil</t>
  </si>
  <si>
    <t>Saldo total por cliente  1.000-1.500 mil</t>
  </si>
  <si>
    <t>Saldo total por cliente  1.500-10.000 mil</t>
  </si>
  <si>
    <t>Saldo total por cliente de 10.000-100.000 mil</t>
  </si>
  <si>
    <t>Saldo total por cliente de 100.000-1.000.000 mil</t>
  </si>
  <si>
    <t>Saldo total por cliente acima de 1.000.000 mil</t>
  </si>
  <si>
    <t>Valor</t>
  </si>
  <si>
    <t>Quantidade Clientes</t>
  </si>
  <si>
    <t>Pessoas Físicas</t>
  </si>
  <si>
    <t>Pessoas Jurídicas de Pequeno Porte</t>
  </si>
  <si>
    <t>Pessoas Jurídicas não financeiras</t>
  </si>
  <si>
    <t>Governos, BCs, banco de desenvolvimento, entidades do setor público e assemelhadas</t>
  </si>
  <si>
    <t>Instituições financeiras, fundos, seguradoras, investidores institucionais e assemelhados</t>
  </si>
  <si>
    <t>Ligadas</t>
  </si>
  <si>
    <t>Recursos administrados</t>
  </si>
  <si>
    <t>Corretoras, distribuidoras e demais intermediários</t>
  </si>
  <si>
    <t>CONCENTRAÇÃO DA CAPTAÇÃO - ME</t>
  </si>
  <si>
    <t>País:</t>
  </si>
  <si>
    <t>DEPÓSITOS JUDICIAIS NO BRASIL</t>
  </si>
  <si>
    <t>Valor depositado</t>
  </si>
  <si>
    <t>Valor mantido na IF</t>
  </si>
  <si>
    <t>Somente contrapartes privadas</t>
  </si>
  <si>
    <t>Contrapartes públicas e privadas</t>
  </si>
  <si>
    <t>CAPTAÇÕES ASSEGURADAS POR SEGURO DEPÓSITO</t>
  </si>
  <si>
    <t>LINHAS DE CRÉDITO E LIQUIDEZ</t>
  </si>
  <si>
    <t>Vencimento nos próximos 30 dias</t>
  </si>
  <si>
    <t>Vencimento entre 30 e 60 dias</t>
  </si>
  <si>
    <t>Vencimento entre 60 e 90 dias</t>
  </si>
  <si>
    <t>Vencimento entre 90 e 180 dias</t>
  </si>
  <si>
    <t>Vencimento entre 180 e 360 dias</t>
  </si>
  <si>
    <t>Vencimento entre 360 e 720 dias</t>
  </si>
  <si>
    <t>Vencimento acima de 720 dias</t>
  </si>
  <si>
    <t>Contratada</t>
  </si>
  <si>
    <t>Utilizada</t>
  </si>
  <si>
    <t>Junto a controladores</t>
  </si>
  <si>
    <t>Demais não vinculadas</t>
  </si>
  <si>
    <t>Junto a Banco Central</t>
  </si>
  <si>
    <t>Ativos de Alta Liquidez VINCULADOS</t>
  </si>
  <si>
    <t>Vencimento em até  30 dias</t>
  </si>
  <si>
    <t>Sob custódia da própria IF</t>
  </si>
  <si>
    <t>Garantia de linhas de assistência à liquidez de Bancos Centrais</t>
  </si>
  <si>
    <t>Demais vinculações em Bancos Centrais</t>
  </si>
  <si>
    <t>Demais garantias de linhas de crédito e liquidez</t>
  </si>
  <si>
    <t>Garantias de operações com derivativos</t>
  </si>
  <si>
    <t>Demais garantias</t>
  </si>
  <si>
    <t>RESERVAS COMPULSÓRIAS EM BANCOS CENTRAIS</t>
  </si>
  <si>
    <t>De clientes com depósitos totais maior ou igual a R$ 1,5 milhão</t>
  </si>
  <si>
    <t>Instrumentos pós pagos: Pagamento ao Lojista</t>
  </si>
  <si>
    <t>Colchão de liquidez (ativos líquidos) na data base do LCR</t>
  </si>
  <si>
    <t>Linhas de Crédito e Liquidez</t>
  </si>
  <si>
    <t>Tipo</t>
  </si>
  <si>
    <t>No país da subsidiária</t>
  </si>
  <si>
    <t>No exterior</t>
  </si>
  <si>
    <t>Títulos emitidos ou garantidos por EMDs, governos, bancos centrais e PSEs de países com classificação de risco AA- ou superior</t>
  </si>
  <si>
    <t>Títulos emitidos ou garantidos por governo e bancos centrais de países com classificação de risco A- ou superior</t>
  </si>
  <si>
    <t>Títulos emitidos ou garantidos por governos e bancos centrais de países com classificação de risco BBB- ou superior</t>
  </si>
  <si>
    <t>Títulos privados emitidos por empresas não financeiras (corporate bonds)</t>
  </si>
  <si>
    <t>Títulos privados emitidos por empresas não financeiras (corporate bonds) com classificação de risco AA- ou superior</t>
  </si>
  <si>
    <t xml:space="preserve">Títulos privados emitidos por empresas não financeiras (corporate bonds) com classificação de risco entre A+ e BBB- </t>
  </si>
  <si>
    <t>10.1</t>
  </si>
  <si>
    <t>20.1</t>
  </si>
  <si>
    <t>20.1.1</t>
  </si>
  <si>
    <t>20.1.1.1</t>
  </si>
  <si>
    <t>20.1.1.2</t>
  </si>
  <si>
    <t>20.1.2</t>
  </si>
  <si>
    <t>20.1.2.1</t>
  </si>
  <si>
    <t>20.1.2.2</t>
  </si>
  <si>
    <t>30.1</t>
  </si>
  <si>
    <t>30.1.1</t>
  </si>
  <si>
    <t>30.1.2</t>
  </si>
  <si>
    <t>30.1.3</t>
  </si>
  <si>
    <t>10.2</t>
  </si>
  <si>
    <t>10.3</t>
  </si>
  <si>
    <t>10.3.1</t>
  </si>
  <si>
    <t>10.3.2</t>
  </si>
  <si>
    <t>10.3.3</t>
  </si>
  <si>
    <t>10.3.4</t>
  </si>
  <si>
    <t>10.3.5</t>
  </si>
  <si>
    <t>10.4</t>
  </si>
  <si>
    <t>10.4.1</t>
  </si>
  <si>
    <t>10.4.2</t>
  </si>
  <si>
    <t>10.5</t>
  </si>
  <si>
    <t>10.5.1</t>
  </si>
  <si>
    <t>10.5.2</t>
  </si>
  <si>
    <t>10.6</t>
  </si>
  <si>
    <t>10.7</t>
  </si>
  <si>
    <t>10.7.1</t>
  </si>
  <si>
    <t>10.7.2</t>
  </si>
  <si>
    <t>20.2</t>
  </si>
  <si>
    <t>20.2.1</t>
  </si>
  <si>
    <t>20.2.2</t>
  </si>
  <si>
    <t>20.3</t>
  </si>
  <si>
    <t>20.3.1</t>
  </si>
  <si>
    <t>20.3.2</t>
  </si>
  <si>
    <t>20.3.2.1</t>
  </si>
  <si>
    <t>20.3.2.2</t>
  </si>
  <si>
    <t>20.3.3</t>
  </si>
  <si>
    <t>20.3.3.1</t>
  </si>
  <si>
    <t>20.3.3.2</t>
  </si>
  <si>
    <t>20.3.3.3</t>
  </si>
  <si>
    <t>20.3.4</t>
  </si>
  <si>
    <t>20.3.4.1</t>
  </si>
  <si>
    <t>20.3.4.2</t>
  </si>
  <si>
    <t>20.3.5</t>
  </si>
  <si>
    <t>20.3.5.1</t>
  </si>
  <si>
    <t>20.3.5.2</t>
  </si>
  <si>
    <t>20.3.6</t>
  </si>
  <si>
    <t>20.3.6.1</t>
  </si>
  <si>
    <t>20.3.6.2</t>
  </si>
  <si>
    <t>20.3.7</t>
  </si>
  <si>
    <t>20.4</t>
  </si>
  <si>
    <t>20.4.1</t>
  </si>
  <si>
    <t>20.4.1.1</t>
  </si>
  <si>
    <t>20.4.1.2</t>
  </si>
  <si>
    <t>20.4.2</t>
  </si>
  <si>
    <t>20.4.2.1</t>
  </si>
  <si>
    <t>20.4.2.2</t>
  </si>
  <si>
    <t>20.5</t>
  </si>
  <si>
    <t>20.5.1</t>
  </si>
  <si>
    <t>20.5.2</t>
  </si>
  <si>
    <t>20.6</t>
  </si>
  <si>
    <t>20.6.1</t>
  </si>
  <si>
    <t>20.6.2</t>
  </si>
  <si>
    <t>20.7</t>
  </si>
  <si>
    <t>20.7.1</t>
  </si>
  <si>
    <t>20.7.1.1</t>
  </si>
  <si>
    <t>20.7.1.2</t>
  </si>
  <si>
    <t>20.7.1.3</t>
  </si>
  <si>
    <t>20.7.1.3.1</t>
  </si>
  <si>
    <t>20.7.1.3.2</t>
  </si>
  <si>
    <t>20.7.1.3.3</t>
  </si>
  <si>
    <t>20.7.1.4</t>
  </si>
  <si>
    <t>20.7.1.4.1</t>
  </si>
  <si>
    <t>20.7.1.4.2</t>
  </si>
  <si>
    <t>20.7.2</t>
  </si>
  <si>
    <t>20.7.2.1</t>
  </si>
  <si>
    <t>20.7.2.2</t>
  </si>
  <si>
    <t>20.7.3</t>
  </si>
  <si>
    <t>20.7.4</t>
  </si>
  <si>
    <t>20.7.5</t>
  </si>
  <si>
    <t>20.7.6</t>
  </si>
  <si>
    <t>20.7.7</t>
  </si>
  <si>
    <t>20.8</t>
  </si>
  <si>
    <t>20.8.1</t>
  </si>
  <si>
    <t>20.8.1.1</t>
  </si>
  <si>
    <t>20.8.1.1.1</t>
  </si>
  <si>
    <t>20.8.1.1.2</t>
  </si>
  <si>
    <t>20.8.1.2</t>
  </si>
  <si>
    <t>20.8.2</t>
  </si>
  <si>
    <t>20.8.2.1</t>
  </si>
  <si>
    <t>20.8.2.2</t>
  </si>
  <si>
    <t>20.8.2.3</t>
  </si>
  <si>
    <t>20.8.2.4</t>
  </si>
  <si>
    <t>20.8.2.5</t>
  </si>
  <si>
    <t>20.9</t>
  </si>
  <si>
    <t>20.9.1</t>
  </si>
  <si>
    <t>20.9.2</t>
  </si>
  <si>
    <t>20.9.3</t>
  </si>
  <si>
    <t>20.9.4</t>
  </si>
  <si>
    <t>20.10</t>
  </si>
  <si>
    <t>20.10.1</t>
  </si>
  <si>
    <t>20.10.2</t>
  </si>
  <si>
    <t>20.10.3</t>
  </si>
  <si>
    <t>20.10.3.1</t>
  </si>
  <si>
    <t>20.10.3.2</t>
  </si>
  <si>
    <t>20.10.3.3</t>
  </si>
  <si>
    <t>20.10.4</t>
  </si>
  <si>
    <t>20.10.5</t>
  </si>
  <si>
    <t>30.2</t>
  </si>
  <si>
    <t>30.2.1</t>
  </si>
  <si>
    <t>30.2.2</t>
  </si>
  <si>
    <t>30.2.3</t>
  </si>
  <si>
    <t>30.2.4</t>
  </si>
  <si>
    <t>30.2.5</t>
  </si>
  <si>
    <t>30.3</t>
  </si>
  <si>
    <t>30.3.1</t>
  </si>
  <si>
    <t>30.3.2</t>
  </si>
  <si>
    <t>30.4</t>
  </si>
  <si>
    <t>30.4.1</t>
  </si>
  <si>
    <t>30.4.2</t>
  </si>
  <si>
    <t>30.5</t>
  </si>
  <si>
    <t>30.5.1</t>
  </si>
  <si>
    <t>30.5.1.1</t>
  </si>
  <si>
    <t>30.5.1.2</t>
  </si>
  <si>
    <t>30.5.2</t>
  </si>
  <si>
    <t>30.5.2.1</t>
  </si>
  <si>
    <t>30.5.2.2</t>
  </si>
  <si>
    <t>30.6</t>
  </si>
  <si>
    <t>30.6.1</t>
  </si>
  <si>
    <t>30.6.1.1</t>
  </si>
  <si>
    <t>30.6.1.2</t>
  </si>
  <si>
    <t>30.6.2</t>
  </si>
  <si>
    <t>30.6.2.1</t>
  </si>
  <si>
    <t>30.6.2.2</t>
  </si>
  <si>
    <t>30.6.3</t>
  </si>
  <si>
    <t>30.6.4</t>
  </si>
  <si>
    <t>11.7</t>
  </si>
  <si>
    <t>11.1</t>
  </si>
  <si>
    <t>11.2</t>
  </si>
  <si>
    <t>11.3</t>
  </si>
  <si>
    <t>11.3.1</t>
  </si>
  <si>
    <t>11.3.2</t>
  </si>
  <si>
    <t>11.3.3</t>
  </si>
  <si>
    <t>11.3.4</t>
  </si>
  <si>
    <t>11.3.5</t>
  </si>
  <si>
    <t>11.4</t>
  </si>
  <si>
    <t>11.4.1</t>
  </si>
  <si>
    <t>11.4.2</t>
  </si>
  <si>
    <t>11.5</t>
  </si>
  <si>
    <t>11.5.1</t>
  </si>
  <si>
    <t>11.5.2</t>
  </si>
  <si>
    <t>11.6</t>
  </si>
  <si>
    <t>40.1.1</t>
  </si>
  <si>
    <t>40.1.2</t>
  </si>
  <si>
    <t>40.1</t>
  </si>
  <si>
    <t>40.2</t>
  </si>
  <si>
    <t>40.2.1 - Depósitos à Vista</t>
  </si>
  <si>
    <t>40.2.1.1</t>
  </si>
  <si>
    <t>40.2.1.2</t>
  </si>
  <si>
    <t>40.2.1.3</t>
  </si>
  <si>
    <t>40.2.1.4</t>
  </si>
  <si>
    <t>40.2.1.5</t>
  </si>
  <si>
    <t>40.2.1.6</t>
  </si>
  <si>
    <t>40.2.1.7</t>
  </si>
  <si>
    <t>40.2.1.8</t>
  </si>
  <si>
    <t>40.2.2.1</t>
  </si>
  <si>
    <t>40.2.2.2</t>
  </si>
  <si>
    <t>40.2.2 - Poupança</t>
  </si>
  <si>
    <t>40.2.3 - Demais captações a prazo</t>
  </si>
  <si>
    <t>40.2.2.3</t>
  </si>
  <si>
    <t>40.2.2.4</t>
  </si>
  <si>
    <t>40.2.2.5</t>
  </si>
  <si>
    <t>40.2.2.6</t>
  </si>
  <si>
    <t>40.2.2.7</t>
  </si>
  <si>
    <t>40.2.2.8</t>
  </si>
  <si>
    <t>40.2.3.1</t>
  </si>
  <si>
    <t>40.2.3.2</t>
  </si>
  <si>
    <t>40.2.3.3</t>
  </si>
  <si>
    <t>40.2.3.4</t>
  </si>
  <si>
    <t>40.2.3.5</t>
  </si>
  <si>
    <t>40.2.3.6</t>
  </si>
  <si>
    <t>40.2.3.7</t>
  </si>
  <si>
    <t>40.2.3.8</t>
  </si>
  <si>
    <t>40.2.3.9</t>
  </si>
  <si>
    <t>40.3</t>
  </si>
  <si>
    <t>40.3.1 - Depósitos à Vista</t>
  </si>
  <si>
    <t>40.3.2 - Poupança</t>
  </si>
  <si>
    <t>40.3.3 - Demais captações a prazo</t>
  </si>
  <si>
    <t>40.3.1.1</t>
  </si>
  <si>
    <t>40.3.1.2</t>
  </si>
  <si>
    <t>40.3.1.3</t>
  </si>
  <si>
    <t>40.3.1.4</t>
  </si>
  <si>
    <t>40.3.1.5</t>
  </si>
  <si>
    <t>40.3.1.6</t>
  </si>
  <si>
    <t>40.3.1.7</t>
  </si>
  <si>
    <t>40.3.2.1</t>
  </si>
  <si>
    <t>40.3.2.2</t>
  </si>
  <si>
    <t>40.3.2.3</t>
  </si>
  <si>
    <t>40.3.2.4</t>
  </si>
  <si>
    <t>40.3.2.5</t>
  </si>
  <si>
    <t>40.3.2.6</t>
  </si>
  <si>
    <t>40.3.2.7</t>
  </si>
  <si>
    <t>40.3.3.1</t>
  </si>
  <si>
    <t>40.3.3.2</t>
  </si>
  <si>
    <t>40.3.3.3</t>
  </si>
  <si>
    <t>40.3.3.4</t>
  </si>
  <si>
    <t>40.3.3.5</t>
  </si>
  <si>
    <t>40.3.3.6</t>
  </si>
  <si>
    <t>40.3.3.7</t>
  </si>
  <si>
    <t>40.3.3.8</t>
  </si>
  <si>
    <t>40.4</t>
  </si>
  <si>
    <t>40.4.1</t>
  </si>
  <si>
    <t>40.4.2</t>
  </si>
  <si>
    <t>40.5</t>
  </si>
  <si>
    <t>40.5.1</t>
  </si>
  <si>
    <t>40.5.2</t>
  </si>
  <si>
    <t>40.5.3</t>
  </si>
  <si>
    <t>40.5.4</t>
  </si>
  <si>
    <t>40.5.5</t>
  </si>
  <si>
    <t>40.5.6</t>
  </si>
  <si>
    <t>40.5.7</t>
  </si>
  <si>
    <t>40.5.8</t>
  </si>
  <si>
    <t>40.6</t>
  </si>
  <si>
    <t>40.6.1 - Linhas de crédito e liquidez no país</t>
  </si>
  <si>
    <t>40.6.2 - Linhas de crédito e liquidez no exterior</t>
  </si>
  <si>
    <t>40.6.1.1</t>
  </si>
  <si>
    <t>40.6.1.2</t>
  </si>
  <si>
    <t>40.6.2.1</t>
  </si>
  <si>
    <t>40.6.2.3</t>
  </si>
  <si>
    <t>40.7</t>
  </si>
  <si>
    <t>40.7.1 - Brasil</t>
  </si>
  <si>
    <t>40.7.2 - Exterior</t>
  </si>
  <si>
    <t>40.7.2.1</t>
  </si>
  <si>
    <t>40.7.2.2</t>
  </si>
  <si>
    <t>40.7.2.3</t>
  </si>
  <si>
    <t>40.7.2.4</t>
  </si>
  <si>
    <t>40.7.2.5</t>
  </si>
  <si>
    <t>40.8</t>
  </si>
  <si>
    <t>41.1</t>
  </si>
  <si>
    <t>41.1.1</t>
  </si>
  <si>
    <t>41.1.2</t>
  </si>
  <si>
    <t>41.2.1 - Depósitos à Vista</t>
  </si>
  <si>
    <t>41.2.1.1</t>
  </si>
  <si>
    <t>41.2.1.2</t>
  </si>
  <si>
    <t>41.2.1.3</t>
  </si>
  <si>
    <t>41.2.1.4</t>
  </si>
  <si>
    <t>41.2.1.5</t>
  </si>
  <si>
    <t>41.2.1.6</t>
  </si>
  <si>
    <t>41.2.1.7</t>
  </si>
  <si>
    <t>41.2.1.8</t>
  </si>
  <si>
    <t>41.2</t>
  </si>
  <si>
    <t>41.2.2 - Poupança</t>
  </si>
  <si>
    <t>41.2.2.1</t>
  </si>
  <si>
    <t>41.2.2.2</t>
  </si>
  <si>
    <t>41.2.2.3</t>
  </si>
  <si>
    <t>41.2.2.4</t>
  </si>
  <si>
    <t>41.2.2.5</t>
  </si>
  <si>
    <t>41.2.2.6</t>
  </si>
  <si>
    <t>41.2.2.7</t>
  </si>
  <si>
    <t>41.2.2.8</t>
  </si>
  <si>
    <t>41.2.3 - Demais captações a prazo</t>
  </si>
  <si>
    <t>41.2.3.1</t>
  </si>
  <si>
    <t>41.2.3.2</t>
  </si>
  <si>
    <t>41.2.3.3</t>
  </si>
  <si>
    <t>41.2.3.4</t>
  </si>
  <si>
    <t>41.2.3.5</t>
  </si>
  <si>
    <t>41.2.3.6</t>
  </si>
  <si>
    <t>41.2.3.7</t>
  </si>
  <si>
    <t>41.2.3.8</t>
  </si>
  <si>
    <t>41.2.3.9</t>
  </si>
  <si>
    <t>41.3</t>
  </si>
  <si>
    <t>41.3.1</t>
  </si>
  <si>
    <t>41.3.2</t>
  </si>
  <si>
    <t>41.3.3</t>
  </si>
  <si>
    <t>41.3.4</t>
  </si>
  <si>
    <t>41.3.5</t>
  </si>
  <si>
    <t>41.3.6</t>
  </si>
  <si>
    <t>41.3.7</t>
  </si>
  <si>
    <t>41.3.8</t>
  </si>
  <si>
    <t>41.4</t>
  </si>
  <si>
    <t>41.4.1 - Linhas de crédito e liquidez na jurisdição da subsidiária</t>
  </si>
  <si>
    <t>41.4.2 - Linhas de crédito e liquidez contratadas fora da jurisdição da subsidiária</t>
  </si>
  <si>
    <t>41.4.1.1</t>
  </si>
  <si>
    <t>41.4.1.2</t>
  </si>
  <si>
    <t>41.4.2.1</t>
  </si>
  <si>
    <t>41.4.2.2</t>
  </si>
  <si>
    <t>41.5</t>
  </si>
  <si>
    <t>41.5.1</t>
  </si>
  <si>
    <t>41.5.2</t>
  </si>
  <si>
    <t>41.5.3</t>
  </si>
  <si>
    <t>41.5.4</t>
  </si>
  <si>
    <t>41.5.5</t>
  </si>
  <si>
    <t>41.6</t>
  </si>
  <si>
    <t>41.6.1</t>
  </si>
  <si>
    <t>41.6.2</t>
  </si>
  <si>
    <t>21.1</t>
  </si>
  <si>
    <t>21.1.1</t>
  </si>
  <si>
    <t>21.1.1.1</t>
  </si>
  <si>
    <t>21.1.1.2</t>
  </si>
  <si>
    <t>21.1.2</t>
  </si>
  <si>
    <t>21.1.2.1</t>
  </si>
  <si>
    <t>21.1.2.2</t>
  </si>
  <si>
    <t>21.2</t>
  </si>
  <si>
    <t>21.2.1</t>
  </si>
  <si>
    <t>21.2.2</t>
  </si>
  <si>
    <t>21.3</t>
  </si>
  <si>
    <t>21.3.1</t>
  </si>
  <si>
    <t>21.3.2</t>
  </si>
  <si>
    <t>21.3.2.1</t>
  </si>
  <si>
    <t>21.3.2.2</t>
  </si>
  <si>
    <t>21.3.3</t>
  </si>
  <si>
    <t>21.3.3.1</t>
  </si>
  <si>
    <t>21.3.3.2</t>
  </si>
  <si>
    <t>21.3.3.3</t>
  </si>
  <si>
    <t>21.3.4</t>
  </si>
  <si>
    <t>21.3.4.1</t>
  </si>
  <si>
    <t>21.3.4.2</t>
  </si>
  <si>
    <t>21.3.5</t>
  </si>
  <si>
    <t>21.3.5.1</t>
  </si>
  <si>
    <t>21.3.5.2</t>
  </si>
  <si>
    <t>21.3.6</t>
  </si>
  <si>
    <t>21.3.6.1</t>
  </si>
  <si>
    <t>21.3.6.2</t>
  </si>
  <si>
    <t>21.4</t>
  </si>
  <si>
    <t>21.4.1</t>
  </si>
  <si>
    <t>21.4.2</t>
  </si>
  <si>
    <t>21.4.3</t>
  </si>
  <si>
    <t>21.5</t>
  </si>
  <si>
    <t>21.5.1</t>
  </si>
  <si>
    <t>21.5.2</t>
  </si>
  <si>
    <t>21.6</t>
  </si>
  <si>
    <t>21.6.1</t>
  </si>
  <si>
    <t>21.6.2</t>
  </si>
  <si>
    <t>21.7</t>
  </si>
  <si>
    <t>21.7.1</t>
  </si>
  <si>
    <t>21.7.1.1</t>
  </si>
  <si>
    <t>21.7.1.2</t>
  </si>
  <si>
    <t>21.7.1.3</t>
  </si>
  <si>
    <t>21.7.1.3.1</t>
  </si>
  <si>
    <t>21.7.1.3.2</t>
  </si>
  <si>
    <t>21.7.1.3.3</t>
  </si>
  <si>
    <t>21.7.1.4</t>
  </si>
  <si>
    <t>21.7.1.4.1</t>
  </si>
  <si>
    <t>21.7.1.4.2</t>
  </si>
  <si>
    <t>21.7.2</t>
  </si>
  <si>
    <t>21.7.2.1</t>
  </si>
  <si>
    <t>21.7.3</t>
  </si>
  <si>
    <t>21.7.4</t>
  </si>
  <si>
    <t>21.7.5</t>
  </si>
  <si>
    <t>21.7.6</t>
  </si>
  <si>
    <t>21.7.7</t>
  </si>
  <si>
    <t>21.8</t>
  </si>
  <si>
    <t>21.8.1</t>
  </si>
  <si>
    <t>21.8.1.1</t>
  </si>
  <si>
    <t>21.8.1.1.1</t>
  </si>
  <si>
    <t>21.8.1.1.2</t>
  </si>
  <si>
    <t>21.8.1.2</t>
  </si>
  <si>
    <t>21.8.2</t>
  </si>
  <si>
    <t>21.8.2.1</t>
  </si>
  <si>
    <t>21.7.2.2</t>
  </si>
  <si>
    <t>21.8.2.2</t>
  </si>
  <si>
    <t>21.8.2.3</t>
  </si>
  <si>
    <t>21.8.2.4</t>
  </si>
  <si>
    <t>21.8.2.5</t>
  </si>
  <si>
    <t>21.9</t>
  </si>
  <si>
    <t>21.9.1</t>
  </si>
  <si>
    <t>21.9.2</t>
  </si>
  <si>
    <t>21.9.3</t>
  </si>
  <si>
    <t>21.9.4</t>
  </si>
  <si>
    <t>21.10</t>
  </si>
  <si>
    <t>21.10.1</t>
  </si>
  <si>
    <t>21.10.2</t>
  </si>
  <si>
    <t>21.10.3</t>
  </si>
  <si>
    <t>21.10.3.1</t>
  </si>
  <si>
    <t>21.10.3.2</t>
  </si>
  <si>
    <t>21.10.3.3</t>
  </si>
  <si>
    <t>21.10.5</t>
  </si>
  <si>
    <t>31.1</t>
  </si>
  <si>
    <t>31.1.1</t>
  </si>
  <si>
    <t>31.1.2</t>
  </si>
  <si>
    <t>31.1.3</t>
  </si>
  <si>
    <t>31.2</t>
  </si>
  <si>
    <t>31.2.1</t>
  </si>
  <si>
    <t>31.2.2</t>
  </si>
  <si>
    <t>31.2.3</t>
  </si>
  <si>
    <t>31.2.4</t>
  </si>
  <si>
    <t>31.2.5</t>
  </si>
  <si>
    <t>31.3</t>
  </si>
  <si>
    <t>31.3.1</t>
  </si>
  <si>
    <t>31.4</t>
  </si>
  <si>
    <t>31.4.1</t>
  </si>
  <si>
    <t>31.4.2</t>
  </si>
  <si>
    <t>31.5</t>
  </si>
  <si>
    <t>31.5.1</t>
  </si>
  <si>
    <t>31.5.1.1</t>
  </si>
  <si>
    <t>31.5.1.2</t>
  </si>
  <si>
    <t>31.5.2</t>
  </si>
  <si>
    <t>31.3.2</t>
  </si>
  <si>
    <t>31.5.2.1</t>
  </si>
  <si>
    <t>31.5.2.2</t>
  </si>
  <si>
    <t>31.6</t>
  </si>
  <si>
    <t>31.6.1</t>
  </si>
  <si>
    <t>31.6.1.1</t>
  </si>
  <si>
    <t>31.6.1.2</t>
  </si>
  <si>
    <t>31.6.2</t>
  </si>
  <si>
    <t>31.6.2.1</t>
  </si>
  <si>
    <t>31.6.2.2</t>
  </si>
  <si>
    <t>31.6.3</t>
  </si>
  <si>
    <t>31.6.4</t>
  </si>
  <si>
    <t>País: Brasil</t>
  </si>
  <si>
    <t>20.11</t>
  </si>
  <si>
    <t>Outras saídas de caixa</t>
  </si>
  <si>
    <t>20.11.1</t>
  </si>
  <si>
    <t>Ordens de pagamento e transferências recebidas</t>
  </si>
  <si>
    <t>21.11</t>
  </si>
  <si>
    <t>21.11.1</t>
  </si>
  <si>
    <t>20.1.1.3</t>
  </si>
  <si>
    <t>20.1.2.3</t>
  </si>
  <si>
    <t>20.2.3</t>
  </si>
  <si>
    <t>20.3.4.3</t>
  </si>
  <si>
    <t>Sem cobertura integral de seguro depósito</t>
  </si>
  <si>
    <t>Captações não elegíveis à cobertura de seguro depósito</t>
  </si>
  <si>
    <t>20.3.6.3</t>
  </si>
  <si>
    <t>20.3.5.3</t>
  </si>
  <si>
    <t>20.3.3.4</t>
  </si>
  <si>
    <t>20.3.2.3</t>
  </si>
  <si>
    <t>21.1.1.3</t>
  </si>
  <si>
    <t>21.1.2.3</t>
  </si>
  <si>
    <t>21.2.3</t>
  </si>
  <si>
    <t>21.3.2.3</t>
  </si>
  <si>
    <t>21.3.3.4</t>
  </si>
  <si>
    <t>21.3.4.3</t>
  </si>
  <si>
    <t>21.3.5.3</t>
  </si>
  <si>
    <t>21.3.6.3</t>
  </si>
  <si>
    <t>20.11.2</t>
  </si>
  <si>
    <t>20.11.3</t>
  </si>
  <si>
    <t>Despesas operacionais nos próximos 30 dias</t>
  </si>
  <si>
    <t>Repasse de boletos bancários e cartões de débito e pré pago</t>
  </si>
  <si>
    <t>20.4.1.3</t>
  </si>
  <si>
    <t>20.4.2.3</t>
  </si>
  <si>
    <t>Não elegíveis à cobertura de seguro: colateralizados ou lastreados</t>
  </si>
  <si>
    <t>21.11.2</t>
  </si>
  <si>
    <t>30.6.5</t>
  </si>
  <si>
    <t>30.6.6</t>
  </si>
  <si>
    <t>Cartão de crédito: valores a receber</t>
  </si>
  <si>
    <t>Receitas de serviços e tarifas</t>
  </si>
  <si>
    <t>Empréstimos concedidos a clientes de varejo: pessoas físicas e pessoas jurídicas de pequeno porte</t>
  </si>
  <si>
    <t>Empréstimos concedidos a clientes de atacado: pessoas jurídicas não financeiras</t>
  </si>
  <si>
    <t>Empréstimos concedidos a clientes de atacado: instituições financeiras e BCs</t>
  </si>
  <si>
    <t>30.2.6</t>
  </si>
  <si>
    <t>30.2.7</t>
  </si>
  <si>
    <t>31.6.5</t>
  </si>
  <si>
    <t>31.6.6</t>
  </si>
  <si>
    <t>30.2.8</t>
  </si>
  <si>
    <t>Crédito direcionado e outras aplicações direcionadas: operações que devem ser redirecionadas nos próximos 30 dias</t>
  </si>
  <si>
    <t>Crédito direcionado e outras aplicações direcionadas: operações que não necessitam ser redirecionadas nos próximos 30 dias</t>
  </si>
  <si>
    <t>30.2.9</t>
  </si>
  <si>
    <t>31.2.6</t>
  </si>
  <si>
    <t>31.2.7</t>
  </si>
  <si>
    <t>31.2.8</t>
  </si>
  <si>
    <t>31.2.9</t>
  </si>
  <si>
    <t>Parcelas não colateralizadas de operações compromissadas (tratamento simplificado)</t>
  </si>
  <si>
    <t>40.6.2.2</t>
  </si>
  <si>
    <t>Dólar</t>
  </si>
  <si>
    <t>Euro</t>
  </si>
  <si>
    <t>peso chileno</t>
  </si>
  <si>
    <t>Moeda 3</t>
  </si>
  <si>
    <t>Moeda 4</t>
  </si>
  <si>
    <t>Sol peruano</t>
  </si>
  <si>
    <t>Operações de formador de mercado (market maker)</t>
  </si>
  <si>
    <t>Moeda: Dólar</t>
  </si>
  <si>
    <t>Limite do seguro depósito: R$ 0</t>
  </si>
  <si>
    <t>Limite do seguro depósito: R$ 928.300</t>
  </si>
  <si>
    <t>Moeda: Euro</t>
  </si>
  <si>
    <t>Limite do seguro depósito: R$ 250.000</t>
  </si>
  <si>
    <t>Limite do seguro depósito: R$ 928.000</t>
  </si>
  <si>
    <t>País: Chile</t>
  </si>
  <si>
    <t>Peso chileno</t>
  </si>
  <si>
    <t>Peso argentino</t>
  </si>
  <si>
    <t>Vencimento de TVMs subordinados e resgates e proventos referentes a cotas subordinadas de fundos de investimento</t>
  </si>
  <si>
    <t>Peso Chileno</t>
  </si>
  <si>
    <t>Moeda: Peso Chileno</t>
  </si>
  <si>
    <t>Limite do seguro depósito: R$ 278.450</t>
  </si>
  <si>
    <t>Saldo total por cliente até limite de cobertura do seguro depósito (15)</t>
  </si>
  <si>
    <t>Saldo total por cliente  entre limite de cobertura do seguro depósito e 1.500 mil (16)</t>
  </si>
  <si>
    <t>Saldo total por cliente  1.500-10.000 mil (10)</t>
  </si>
  <si>
    <t>Saldo total por cliente de 10.000-100.000 mil (11)</t>
  </si>
  <si>
    <t>Saldo total por cliente de 100.000-1.000.000 mil (12)</t>
  </si>
  <si>
    <t>Saldo total por cliente acima de 1.000.000 mil (13)</t>
  </si>
  <si>
    <t>Vencimento entre 30 e 60 dias (2)</t>
  </si>
  <si>
    <t>Vencimento entre 180 e 360 dias (5)</t>
  </si>
  <si>
    <t>Vencimento entre 360 e 720 dias (6)</t>
  </si>
  <si>
    <t>Vencimento acima de 720 dias (7)</t>
  </si>
  <si>
    <t>Vencimento entre 60 e 90 dias (3)</t>
  </si>
  <si>
    <t>Vencimento entre 90 e 180 dias (4)</t>
  </si>
  <si>
    <t>Vencimento em até  30 dias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</si>
</sst>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6" formatCode="&quot;R$&quot;\ #,##0;[Red]\-&quot;R$&quot;\ #,##0"/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0.0%"/>
    <numFmt numFmtId="166" formatCode="yyyy\-mm\-dd;@"/>
    <numFmt numFmtId="167" formatCode="0.0"/>
    <numFmt numFmtId="168" formatCode="0.0000"/>
    <numFmt numFmtId="169" formatCode="0.0000%"/>
    <numFmt numFmtId="170" formatCode="_(* #,##0.00_);_(* \(#,##0.00\);_(* &quot;-&quot;??_);_(@_)"/>
    <numFmt numFmtId="171" formatCode="&quot;Yes&quot;;[Red]&quot;No&quot;"/>
    <numFmt numFmtId="172" formatCode="0.00000"/>
    <numFmt numFmtId="173" formatCode="[&gt;0]General"/>
    <numFmt numFmtId="174" formatCode="_(* #,##0_);_(* \(#,##0\);_(* &quot;-&quot;??_);_(@_)"/>
    <numFmt numFmtId="175" formatCode="_-&quot;R$&quot;\ * #,##0_-;\-&quot;R$&quot;\ * #,##0_-;_-&quot;R$&quot;\ * &quot;-&quot;??_-;_-@_-"/>
  </numFmts>
  <fonts count="2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Times New Roman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10"/>
      <name val="Arial"/>
      <family val="2"/>
    </font>
    <font>
      <sz val="10"/>
      <name val="MS Sans Serif"/>
      <family val="2"/>
    </font>
    <font>
      <b/>
      <sz val="2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3"/>
        <bgColor indexed="45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mediumGray">
        <fgColor indexed="45"/>
        <bgColor indexed="9"/>
      </patternFill>
    </fill>
    <fill>
      <patternFill patternType="lightGray">
        <fgColor indexed="45"/>
        <bgColor indexed="9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77">
    <xf numFmtId="0" fontId="0" fillId="0" borderId="0"/>
    <xf numFmtId="9" fontId="2" fillId="0" borderId="0" applyFont="0" applyFill="0" applyBorder="0" applyAlignment="0" applyProtection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3" fontId="17" fillId="8" borderId="20" applyFont="0" applyFill="0" applyProtection="0">
      <alignment horizontal="right" vertical="center"/>
    </xf>
    <xf numFmtId="0" fontId="8" fillId="8" borderId="20">
      <alignment horizontal="center" vertical="center"/>
    </xf>
    <xf numFmtId="0" fontId="18" fillId="0" borderId="0"/>
    <xf numFmtId="0" fontId="8" fillId="9" borderId="20" applyNumberFormat="0" applyFont="0" applyBorder="0" applyProtection="0">
      <alignment horizontal="center" vertical="center"/>
    </xf>
    <xf numFmtId="0" fontId="8" fillId="9" borderId="20" applyNumberFormat="0" applyFont="0" applyBorder="0">
      <alignment horizontal="center" vertical="center"/>
    </xf>
    <xf numFmtId="0" fontId="19" fillId="8" borderId="17" applyNumberFormat="0" applyFill="0" applyBorder="0" applyAlignment="0" applyProtection="0">
      <alignment horizontal="left"/>
    </xf>
    <xf numFmtId="0" fontId="20" fillId="8" borderId="19" applyFont="0" applyBorder="0">
      <alignment horizontal="center" wrapText="1"/>
    </xf>
    <xf numFmtId="3" fontId="8" fillId="10" borderId="20" applyFont="0" applyProtection="0">
      <alignment horizontal="right" vertical="center"/>
    </xf>
    <xf numFmtId="10" fontId="8" fillId="10" borderId="20" applyFont="0" applyProtection="0">
      <alignment horizontal="right" vertical="center"/>
    </xf>
    <xf numFmtId="9" fontId="8" fillId="10" borderId="20" applyFont="0" applyProtection="0">
      <alignment horizontal="right" vertical="center"/>
    </xf>
    <xf numFmtId="0" fontId="8" fillId="10" borderId="19" applyNumberFormat="0" applyFont="0" applyBorder="0" applyProtection="0">
      <alignment horizontal="left" vertical="center"/>
    </xf>
    <xf numFmtId="166" fontId="8" fillId="11" borderId="20" applyFont="0">
      <alignment vertical="center"/>
      <protection locked="0"/>
    </xf>
    <xf numFmtId="3" fontId="8" fillId="11" borderId="20" applyFont="0">
      <alignment horizontal="right" vertical="center"/>
      <protection locked="0"/>
    </xf>
    <xf numFmtId="167" fontId="8" fillId="11" borderId="20" applyFont="0">
      <alignment horizontal="right" vertical="center"/>
      <protection locked="0"/>
    </xf>
    <xf numFmtId="168" fontId="8" fillId="12" borderId="20" applyFont="0">
      <alignment vertical="center"/>
      <protection locked="0"/>
    </xf>
    <xf numFmtId="10" fontId="8" fillId="11" borderId="20" applyFont="0">
      <alignment horizontal="right" vertical="center"/>
      <protection locked="0"/>
    </xf>
    <xf numFmtId="9" fontId="8" fillId="11" borderId="28" applyFont="0">
      <alignment horizontal="right" vertical="center"/>
      <protection locked="0"/>
    </xf>
    <xf numFmtId="169" fontId="8" fillId="11" borderId="20" applyFont="0">
      <alignment horizontal="right" vertical="center"/>
      <protection locked="0"/>
    </xf>
    <xf numFmtId="165" fontId="8" fillId="11" borderId="28" applyFont="0">
      <alignment horizontal="right" vertical="center"/>
      <protection locked="0"/>
    </xf>
    <xf numFmtId="0" fontId="8" fillId="11" borderId="20" applyFont="0">
      <alignment horizontal="center" vertical="center" wrapText="1"/>
      <protection locked="0"/>
    </xf>
    <xf numFmtId="49" fontId="8" fillId="11" borderId="20" applyFont="0">
      <alignment vertical="center"/>
      <protection locked="0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21" fillId="0" borderId="0"/>
    <xf numFmtId="0" fontId="1" fillId="0" borderId="0"/>
    <xf numFmtId="3" fontId="8" fillId="13" borderId="20" applyFont="0">
      <alignment horizontal="right" vertical="center"/>
      <protection locked="0"/>
    </xf>
    <xf numFmtId="167" fontId="8" fillId="13" borderId="20" applyFont="0">
      <alignment horizontal="right" vertical="center"/>
      <protection locked="0"/>
    </xf>
    <xf numFmtId="10" fontId="8" fillId="13" borderId="20" applyFont="0">
      <alignment horizontal="right" vertical="center"/>
      <protection locked="0"/>
    </xf>
    <xf numFmtId="9" fontId="8" fillId="13" borderId="20" applyFont="0">
      <alignment horizontal="right" vertical="center"/>
      <protection locked="0"/>
    </xf>
    <xf numFmtId="169" fontId="8" fillId="13" borderId="20" applyFont="0">
      <alignment horizontal="right" vertical="center"/>
      <protection locked="0"/>
    </xf>
    <xf numFmtId="165" fontId="8" fillId="13" borderId="28" applyFont="0">
      <alignment horizontal="right" vertical="center"/>
      <protection locked="0"/>
    </xf>
    <xf numFmtId="0" fontId="8" fillId="13" borderId="20" applyFont="0">
      <alignment horizontal="center" vertical="center" wrapText="1"/>
      <protection locked="0"/>
    </xf>
    <xf numFmtId="0" fontId="8" fillId="13" borderId="20" applyNumberFormat="0" applyFont="0">
      <alignment horizontal="center" vertical="center" wrapText="1"/>
      <protection locked="0"/>
    </xf>
    <xf numFmtId="3" fontId="8" fillId="14" borderId="20" applyFont="0">
      <alignment horizontal="right" vertical="center"/>
      <protection locked="0"/>
    </xf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8" borderId="20" applyFont="0">
      <alignment horizontal="center" vertical="center"/>
    </xf>
    <xf numFmtId="3" fontId="8" fillId="8" borderId="20" applyFont="0">
      <alignment horizontal="right" vertical="center"/>
    </xf>
    <xf numFmtId="172" fontId="8" fillId="8" borderId="20" applyFont="0">
      <alignment horizontal="right" vertical="center"/>
    </xf>
    <xf numFmtId="167" fontId="8" fillId="8" borderId="20" applyFont="0">
      <alignment horizontal="right" vertical="center"/>
    </xf>
    <xf numFmtId="10" fontId="8" fillId="8" borderId="20" applyFont="0">
      <alignment horizontal="right" vertical="center"/>
    </xf>
    <xf numFmtId="9" fontId="8" fillId="8" borderId="20" applyFont="0">
      <alignment horizontal="right" vertical="center"/>
    </xf>
    <xf numFmtId="173" fontId="8" fillId="8" borderId="20" applyFont="0">
      <alignment horizontal="center" vertical="center" wrapText="1"/>
    </xf>
    <xf numFmtId="166" fontId="8" fillId="15" borderId="20" applyFont="0">
      <alignment vertical="center"/>
    </xf>
    <xf numFmtId="1" fontId="8" fillId="15" borderId="20" applyFont="0">
      <alignment horizontal="right" vertical="center"/>
    </xf>
    <xf numFmtId="168" fontId="8" fillId="15" borderId="20" applyFont="0">
      <alignment vertical="center"/>
    </xf>
    <xf numFmtId="9" fontId="8" fillId="15" borderId="20" applyFont="0">
      <alignment horizontal="right" vertical="center"/>
    </xf>
    <xf numFmtId="169" fontId="8" fillId="15" borderId="20" applyFont="0">
      <alignment horizontal="right" vertical="center"/>
    </xf>
    <xf numFmtId="10" fontId="8" fillId="15" borderId="20" applyFont="0">
      <alignment horizontal="right" vertical="center"/>
    </xf>
    <xf numFmtId="0" fontId="8" fillId="15" borderId="20" applyFont="0">
      <alignment horizontal="center" vertical="center" wrapText="1"/>
    </xf>
    <xf numFmtId="49" fontId="8" fillId="15" borderId="20" applyFont="0">
      <alignment vertical="center"/>
    </xf>
    <xf numFmtId="168" fontId="8" fillId="16" borderId="20" applyFont="0">
      <alignment vertical="center"/>
    </xf>
    <xf numFmtId="9" fontId="8" fillId="16" borderId="20" applyFont="0">
      <alignment horizontal="right" vertical="center"/>
    </xf>
    <xf numFmtId="166" fontId="8" fillId="17" borderId="20">
      <alignment vertical="center"/>
    </xf>
    <xf numFmtId="168" fontId="8" fillId="18" borderId="20" applyFont="0">
      <alignment horizontal="right" vertical="center"/>
    </xf>
    <xf numFmtId="1" fontId="8" fillId="18" borderId="20" applyFont="0">
      <alignment horizontal="right" vertical="center"/>
    </xf>
    <xf numFmtId="168" fontId="8" fillId="18" borderId="20" applyFont="0">
      <alignment vertical="center"/>
    </xf>
    <xf numFmtId="167" fontId="8" fillId="18" borderId="20" applyFont="0">
      <alignment vertical="center"/>
    </xf>
    <xf numFmtId="10" fontId="8" fillId="18" borderId="20" applyFont="0">
      <alignment horizontal="right" vertical="center"/>
    </xf>
    <xf numFmtId="9" fontId="8" fillId="18" borderId="20" applyFont="0">
      <alignment horizontal="right" vertical="center"/>
    </xf>
    <xf numFmtId="169" fontId="8" fillId="18" borderId="20" applyFont="0">
      <alignment horizontal="right" vertical="center"/>
    </xf>
    <xf numFmtId="10" fontId="8" fillId="18" borderId="18" applyFont="0">
      <alignment horizontal="right" vertical="center"/>
    </xf>
    <xf numFmtId="0" fontId="8" fillId="18" borderId="20" applyFont="0">
      <alignment horizontal="center" vertical="center" wrapText="1"/>
    </xf>
    <xf numFmtId="49" fontId="8" fillId="18" borderId="20" applyFont="0">
      <alignment vertical="center"/>
    </xf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22">
    <xf numFmtId="0" fontId="0" fillId="0" borderId="0" xfId="0"/>
    <xf numFmtId="0" fontId="3" fillId="0" borderId="0" xfId="2" applyFont="1" applyAlignment="1" applyProtection="1">
      <alignment vertical="center"/>
      <protection locked="0"/>
    </xf>
    <xf numFmtId="0" fontId="3" fillId="0" borderId="0" xfId="2" applyFont="1" applyAlignment="1" applyProtection="1">
      <alignment horizontal="center" vertical="center"/>
      <protection locked="0"/>
    </xf>
    <xf numFmtId="44" fontId="3" fillId="2" borderId="20" xfId="5" applyFont="1" applyFill="1" applyBorder="1" applyAlignment="1" applyProtection="1">
      <alignment horizontal="center" vertical="center"/>
      <protection locked="0"/>
    </xf>
    <xf numFmtId="0" fontId="6" fillId="5" borderId="5" xfId="3" applyFont="1" applyFill="1" applyBorder="1" applyAlignment="1" applyProtection="1">
      <alignment horizontal="left" vertical="center" indent="1"/>
    </xf>
    <xf numFmtId="0" fontId="6" fillId="5" borderId="24" xfId="3" applyFont="1" applyFill="1" applyBorder="1" applyAlignment="1" applyProtection="1">
      <alignment horizontal="left" vertical="center" indent="1"/>
    </xf>
    <xf numFmtId="0" fontId="9" fillId="5" borderId="11" xfId="6" applyFont="1" applyFill="1" applyBorder="1" applyAlignment="1" applyProtection="1">
      <alignment horizontal="left" vertical="center" indent="1"/>
    </xf>
    <xf numFmtId="0" fontId="11" fillId="5" borderId="11" xfId="6" applyFont="1" applyFill="1" applyBorder="1" applyAlignment="1" applyProtection="1">
      <alignment horizontal="left" vertical="center" indent="1"/>
    </xf>
    <xf numFmtId="0" fontId="3" fillId="5" borderId="15" xfId="6" applyFont="1" applyFill="1" applyBorder="1" applyAlignment="1" applyProtection="1">
      <alignment horizontal="left" vertical="center" indent="1"/>
    </xf>
    <xf numFmtId="44" fontId="3" fillId="0" borderId="13" xfId="5" applyFont="1" applyBorder="1" applyAlignment="1" applyProtection="1">
      <alignment vertical="center"/>
      <protection locked="0"/>
    </xf>
    <xf numFmtId="0" fontId="6" fillId="5" borderId="15" xfId="3" applyFont="1" applyFill="1" applyBorder="1" applyAlignment="1" applyProtection="1">
      <alignment horizontal="left" vertical="center" indent="1"/>
    </xf>
    <xf numFmtId="0" fontId="16" fillId="5" borderId="15" xfId="3" applyFont="1" applyFill="1" applyBorder="1" applyAlignment="1" applyProtection="1">
      <alignment horizontal="left" vertical="center" indent="1"/>
    </xf>
    <xf numFmtId="0" fontId="16" fillId="5" borderId="11" xfId="3" applyFont="1" applyFill="1" applyBorder="1" applyAlignment="1" applyProtection="1">
      <alignment horizontal="left" vertical="center" indent="1"/>
    </xf>
    <xf numFmtId="0" fontId="6" fillId="5" borderId="11" xfId="3" applyFont="1" applyFill="1" applyBorder="1" applyAlignment="1" applyProtection="1">
      <alignment horizontal="left" vertical="center" indent="1"/>
    </xf>
    <xf numFmtId="0" fontId="16" fillId="5" borderId="15" xfId="6" applyFont="1" applyFill="1" applyBorder="1" applyAlignment="1" applyProtection="1">
      <alignment horizontal="left" vertical="center" indent="1"/>
    </xf>
    <xf numFmtId="0" fontId="6" fillId="5" borderId="15" xfId="6" applyFont="1" applyFill="1" applyBorder="1" applyAlignment="1" applyProtection="1">
      <alignment horizontal="left" vertical="center" indent="1"/>
    </xf>
    <xf numFmtId="0" fontId="3" fillId="5" borderId="15" xfId="4" applyFont="1" applyFill="1" applyBorder="1" applyAlignment="1">
      <alignment horizontal="left" vertical="center" indent="1"/>
    </xf>
    <xf numFmtId="44" fontId="3" fillId="0" borderId="20" xfId="5" applyFont="1" applyBorder="1" applyAlignment="1" applyProtection="1">
      <alignment vertical="center"/>
      <protection locked="0"/>
    </xf>
    <xf numFmtId="0" fontId="3" fillId="5" borderId="11" xfId="4" applyFont="1" applyFill="1" applyBorder="1" applyAlignment="1">
      <alignment horizontal="left" vertical="center" indent="1"/>
    </xf>
    <xf numFmtId="0" fontId="4" fillId="5" borderId="15" xfId="4" applyFont="1" applyFill="1" applyBorder="1" applyAlignment="1">
      <alignment horizontal="left" vertical="center" indent="1"/>
    </xf>
    <xf numFmtId="0" fontId="3" fillId="0" borderId="0" xfId="2" applyFont="1" applyFill="1" applyBorder="1" applyAlignment="1" applyProtection="1">
      <alignment vertical="center"/>
      <protection locked="0"/>
    </xf>
    <xf numFmtId="44" fontId="3" fillId="0" borderId="0" xfId="2" applyNumberFormat="1" applyFont="1" applyAlignment="1" applyProtection="1">
      <alignment vertical="center"/>
      <protection locked="0"/>
    </xf>
    <xf numFmtId="44" fontId="3" fillId="0" borderId="0" xfId="2" applyNumberFormat="1" applyFont="1" applyBorder="1" applyAlignment="1" applyProtection="1">
      <alignment vertical="center"/>
      <protection locked="0"/>
    </xf>
    <xf numFmtId="0" fontId="4" fillId="3" borderId="2" xfId="2" applyFont="1" applyFill="1" applyBorder="1" applyAlignment="1" applyProtection="1">
      <alignment horizontal="center" vertical="center"/>
      <protection locked="0"/>
    </xf>
    <xf numFmtId="0" fontId="4" fillId="0" borderId="30" xfId="2" applyFont="1" applyBorder="1" applyAlignment="1" applyProtection="1">
      <alignment horizontal="center" vertical="center"/>
    </xf>
    <xf numFmtId="0" fontId="16" fillId="6" borderId="23" xfId="2" applyFont="1" applyFill="1" applyBorder="1" applyAlignment="1" applyProtection="1">
      <alignment vertical="center"/>
      <protection locked="0"/>
    </xf>
    <xf numFmtId="0" fontId="6" fillId="5" borderId="11" xfId="6" applyFont="1" applyFill="1" applyBorder="1" applyAlignment="1" applyProtection="1">
      <alignment horizontal="left" vertical="center" indent="1"/>
    </xf>
    <xf numFmtId="0" fontId="16" fillId="5" borderId="11" xfId="6" applyFont="1" applyFill="1" applyBorder="1" applyAlignment="1" applyProtection="1">
      <alignment horizontal="left" vertical="center" indent="1"/>
    </xf>
    <xf numFmtId="0" fontId="6" fillId="5" borderId="11" xfId="4" applyFont="1" applyFill="1" applyBorder="1" applyAlignment="1">
      <alignment horizontal="left" vertical="center" indent="1"/>
    </xf>
    <xf numFmtId="0" fontId="6" fillId="5" borderId="15" xfId="4" applyFont="1" applyFill="1" applyBorder="1" applyAlignment="1">
      <alignment horizontal="left" vertical="center" indent="1"/>
    </xf>
    <xf numFmtId="0" fontId="16" fillId="5" borderId="15" xfId="4" applyFont="1" applyFill="1" applyBorder="1" applyAlignment="1">
      <alignment horizontal="left" vertical="center" indent="1"/>
    </xf>
    <xf numFmtId="0" fontId="3" fillId="0" borderId="0" xfId="2" applyFont="1" applyBorder="1" applyAlignment="1" applyProtection="1">
      <alignment vertical="center"/>
      <protection locked="0"/>
    </xf>
    <xf numFmtId="0" fontId="4" fillId="0" borderId="0" xfId="2" applyFont="1" applyBorder="1" applyAlignment="1" applyProtection="1">
      <alignment horizontal="right" vertical="center" indent="1"/>
      <protection locked="0"/>
    </xf>
    <xf numFmtId="44" fontId="3" fillId="2" borderId="10" xfId="5" applyFont="1" applyFill="1" applyBorder="1" applyAlignment="1" applyProtection="1">
      <alignment horizontal="center" vertical="center"/>
      <protection locked="0"/>
    </xf>
    <xf numFmtId="0" fontId="6" fillId="5" borderId="6" xfId="3" applyFont="1" applyFill="1" applyBorder="1" applyAlignment="1" applyProtection="1">
      <alignment horizontal="left" vertical="center" indent="1"/>
    </xf>
    <xf numFmtId="164" fontId="3" fillId="0" borderId="0" xfId="2" applyNumberFormat="1" applyFont="1" applyBorder="1" applyAlignment="1" applyProtection="1">
      <alignment horizontal="center" vertical="center"/>
      <protection locked="0"/>
    </xf>
    <xf numFmtId="164" fontId="3" fillId="0" borderId="0" xfId="2" applyNumberFormat="1" applyFont="1" applyBorder="1" applyAlignment="1" applyProtection="1">
      <alignment vertical="center"/>
      <protection locked="0"/>
    </xf>
    <xf numFmtId="0" fontId="4" fillId="3" borderId="7" xfId="2" applyFont="1" applyFill="1" applyBorder="1" applyAlignment="1" applyProtection="1">
      <alignment horizontal="center" vertical="center"/>
      <protection locked="0"/>
    </xf>
    <xf numFmtId="0" fontId="16" fillId="5" borderId="21" xfId="6" applyFont="1" applyFill="1" applyBorder="1" applyAlignment="1" applyProtection="1">
      <alignment horizontal="left" vertical="center" indent="1"/>
    </xf>
    <xf numFmtId="0" fontId="3" fillId="2" borderId="0" xfId="4" applyFont="1" applyFill="1" applyBorder="1" applyAlignment="1">
      <alignment horizontal="left" vertical="center" wrapText="1" indent="4"/>
    </xf>
    <xf numFmtId="0" fontId="9" fillId="5" borderId="15" xfId="6" applyFont="1" applyFill="1" applyBorder="1" applyAlignment="1" applyProtection="1">
      <alignment horizontal="left" vertical="center" wrapText="1" indent="1"/>
      <protection locked="0"/>
    </xf>
    <xf numFmtId="0" fontId="9" fillId="5" borderId="21" xfId="6" applyFont="1" applyFill="1" applyBorder="1" applyAlignment="1" applyProtection="1">
      <alignment horizontal="left" vertical="center" wrapText="1" indent="1"/>
      <protection locked="0"/>
    </xf>
    <xf numFmtId="0" fontId="6" fillId="2" borderId="42" xfId="2" applyFont="1" applyFill="1" applyBorder="1" applyAlignment="1">
      <alignment horizontal="center" vertical="center" wrapText="1"/>
    </xf>
    <xf numFmtId="0" fontId="6" fillId="2" borderId="25" xfId="2" applyFont="1" applyFill="1" applyBorder="1" applyAlignment="1">
      <alignment horizontal="center" vertical="center" wrapText="1"/>
    </xf>
    <xf numFmtId="0" fontId="6" fillId="2" borderId="36" xfId="2" applyFont="1" applyFill="1" applyBorder="1" applyAlignment="1">
      <alignment horizontal="center" vertical="center" wrapText="1"/>
    </xf>
    <xf numFmtId="0" fontId="6" fillId="19" borderId="5" xfId="2" applyFont="1" applyFill="1" applyBorder="1" applyAlignment="1">
      <alignment horizontal="center" vertical="center" wrapText="1"/>
    </xf>
    <xf numFmtId="174" fontId="3" fillId="0" borderId="55" xfId="75" applyNumberFormat="1" applyFont="1" applyBorder="1" applyAlignment="1">
      <alignment horizontal="center" vertical="center"/>
    </xf>
    <xf numFmtId="174" fontId="3" fillId="0" borderId="56" xfId="75" applyNumberFormat="1" applyFont="1" applyBorder="1" applyAlignment="1">
      <alignment horizontal="center" vertical="center"/>
    </xf>
    <xf numFmtId="174" fontId="3" fillId="0" borderId="57" xfId="75" applyNumberFormat="1" applyFont="1" applyBorder="1" applyAlignment="1">
      <alignment horizontal="center" vertical="center"/>
    </xf>
    <xf numFmtId="174" fontId="3" fillId="0" borderId="58" xfId="75" applyNumberFormat="1" applyFont="1" applyBorder="1" applyAlignment="1">
      <alignment horizontal="center" vertical="center"/>
    </xf>
    <xf numFmtId="174" fontId="3" fillId="0" borderId="59" xfId="75" applyNumberFormat="1" applyFont="1" applyBorder="1" applyAlignment="1">
      <alignment horizontal="center" vertical="center"/>
    </xf>
    <xf numFmtId="174" fontId="3" fillId="0" borderId="60" xfId="75" applyNumberFormat="1" applyFont="1" applyBorder="1" applyAlignment="1">
      <alignment horizontal="center" vertical="center"/>
    </xf>
    <xf numFmtId="174" fontId="3" fillId="0" borderId="61" xfId="75" applyNumberFormat="1" applyFont="1" applyBorder="1" applyAlignment="1">
      <alignment horizontal="center" vertical="center"/>
    </xf>
    <xf numFmtId="174" fontId="3" fillId="0" borderId="62" xfId="75" applyNumberFormat="1" applyFont="1" applyBorder="1" applyAlignment="1">
      <alignment horizontal="center" vertical="center"/>
    </xf>
    <xf numFmtId="174" fontId="3" fillId="0" borderId="63" xfId="75" applyNumberFormat="1" applyFont="1" applyBorder="1" applyAlignment="1">
      <alignment horizontal="center" vertical="center"/>
    </xf>
    <xf numFmtId="174" fontId="3" fillId="0" borderId="64" xfId="75" applyNumberFormat="1" applyFont="1" applyBorder="1" applyAlignment="1">
      <alignment horizontal="center" vertical="center"/>
    </xf>
    <xf numFmtId="174" fontId="3" fillId="2" borderId="64" xfId="75" applyNumberFormat="1" applyFont="1" applyFill="1" applyBorder="1" applyAlignment="1">
      <alignment horizontal="center" vertical="center"/>
    </xf>
    <xf numFmtId="0" fontId="6" fillId="19" borderId="32" xfId="2" applyFont="1" applyFill="1" applyBorder="1" applyAlignment="1">
      <alignment vertical="center"/>
    </xf>
    <xf numFmtId="0" fontId="6" fillId="19" borderId="45" xfId="2" applyFont="1" applyFill="1" applyBorder="1" applyAlignment="1">
      <alignment vertical="center"/>
    </xf>
    <xf numFmtId="0" fontId="16" fillId="19" borderId="50" xfId="2" applyFont="1" applyFill="1" applyBorder="1" applyAlignment="1">
      <alignment horizontal="center" vertical="center"/>
    </xf>
    <xf numFmtId="0" fontId="16" fillId="19" borderId="53" xfId="2" applyFont="1" applyFill="1" applyBorder="1" applyAlignment="1">
      <alignment horizontal="center" vertical="center" wrapText="1"/>
    </xf>
    <xf numFmtId="0" fontId="16" fillId="19" borderId="7" xfId="2" applyFont="1" applyFill="1" applyBorder="1" applyAlignment="1">
      <alignment horizontal="center" vertical="center"/>
    </xf>
    <xf numFmtId="0" fontId="16" fillId="19" borderId="54" xfId="2" applyFont="1" applyFill="1" applyBorder="1" applyAlignment="1">
      <alignment horizontal="center" vertical="center" wrapText="1"/>
    </xf>
    <xf numFmtId="0" fontId="16" fillId="2" borderId="34" xfId="2" applyFont="1" applyFill="1" applyBorder="1" applyAlignment="1">
      <alignment horizontal="left" vertical="center" wrapText="1" indent="1"/>
    </xf>
    <xf numFmtId="0" fontId="16" fillId="2" borderId="65" xfId="2" applyFont="1" applyFill="1" applyBorder="1" applyAlignment="1">
      <alignment horizontal="left" vertical="center" wrapText="1" indent="1"/>
    </xf>
    <xf numFmtId="0" fontId="16" fillId="2" borderId="66" xfId="2" applyFont="1" applyFill="1" applyBorder="1" applyAlignment="1">
      <alignment horizontal="left" vertical="center" wrapText="1" indent="1"/>
    </xf>
    <xf numFmtId="0" fontId="3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174" fontId="16" fillId="0" borderId="55" xfId="75" applyNumberFormat="1" applyFont="1" applyFill="1" applyBorder="1" applyAlignment="1">
      <alignment horizontal="center" vertical="center"/>
    </xf>
    <xf numFmtId="174" fontId="16" fillId="0" borderId="56" xfId="75" applyNumberFormat="1" applyFont="1" applyFill="1" applyBorder="1" applyAlignment="1">
      <alignment horizontal="center" vertical="center"/>
    </xf>
    <xf numFmtId="174" fontId="16" fillId="0" borderId="57" xfId="75" applyNumberFormat="1" applyFont="1" applyFill="1" applyBorder="1" applyAlignment="1">
      <alignment horizontal="center" vertical="center"/>
    </xf>
    <xf numFmtId="174" fontId="16" fillId="0" borderId="58" xfId="75" applyNumberFormat="1" applyFont="1" applyFill="1" applyBorder="1" applyAlignment="1">
      <alignment horizontal="center" vertical="center"/>
    </xf>
    <xf numFmtId="174" fontId="16" fillId="0" borderId="60" xfId="75" applyNumberFormat="1" applyFont="1" applyFill="1" applyBorder="1" applyAlignment="1">
      <alignment horizontal="center" vertical="center"/>
    </xf>
    <xf numFmtId="174" fontId="16" fillId="0" borderId="62" xfId="75" applyNumberFormat="1" applyFont="1" applyFill="1" applyBorder="1" applyAlignment="1">
      <alignment horizontal="center" vertical="center"/>
    </xf>
    <xf numFmtId="174" fontId="16" fillId="0" borderId="68" xfId="75" applyNumberFormat="1" applyFont="1" applyFill="1" applyBorder="1" applyAlignment="1">
      <alignment horizontal="center" vertical="center"/>
    </xf>
    <xf numFmtId="174" fontId="16" fillId="0" borderId="64" xfId="75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174" fontId="3" fillId="0" borderId="77" xfId="75" applyNumberFormat="1" applyFont="1" applyFill="1" applyBorder="1" applyAlignment="1">
      <alignment horizontal="center" vertical="center"/>
    </xf>
    <xf numFmtId="174" fontId="3" fillId="0" borderId="80" xfId="75" applyNumberFormat="1" applyFont="1" applyFill="1" applyBorder="1" applyAlignment="1">
      <alignment horizontal="center" vertical="center"/>
    </xf>
    <xf numFmtId="174" fontId="3" fillId="0" borderId="83" xfId="75" applyNumberFormat="1" applyFont="1" applyFill="1" applyBorder="1" applyAlignment="1">
      <alignment horizontal="center" vertical="center"/>
    </xf>
    <xf numFmtId="0" fontId="6" fillId="2" borderId="0" xfId="2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22" fillId="19" borderId="32" xfId="2" applyFont="1" applyFill="1" applyBorder="1" applyAlignment="1">
      <alignment vertical="center"/>
    </xf>
    <xf numFmtId="0" fontId="22" fillId="19" borderId="45" xfId="2" applyFont="1" applyFill="1" applyBorder="1" applyAlignment="1">
      <alignment vertical="center"/>
    </xf>
    <xf numFmtId="0" fontId="6" fillId="19" borderId="70" xfId="2" applyFont="1" applyFill="1" applyBorder="1" applyAlignment="1">
      <alignment horizontal="center" vertical="center"/>
    </xf>
    <xf numFmtId="0" fontId="6" fillId="19" borderId="53" xfId="2" applyFont="1" applyFill="1" applyBorder="1" applyAlignment="1">
      <alignment horizontal="center" vertical="center" wrapText="1"/>
    </xf>
    <xf numFmtId="0" fontId="16" fillId="19" borderId="74" xfId="2" applyFont="1" applyFill="1" applyBorder="1" applyAlignment="1">
      <alignment horizontal="center" vertical="center"/>
    </xf>
    <xf numFmtId="0" fontId="16" fillId="19" borderId="3" xfId="2" applyFont="1" applyFill="1" applyBorder="1" applyAlignment="1">
      <alignment horizontal="center" vertical="center"/>
    </xf>
    <xf numFmtId="0" fontId="16" fillId="19" borderId="70" xfId="2" applyFont="1" applyFill="1" applyBorder="1" applyAlignment="1">
      <alignment horizontal="center" vertical="center" wrapText="1"/>
    </xf>
    <xf numFmtId="0" fontId="16" fillId="2" borderId="7" xfId="2" applyFont="1" applyFill="1" applyBorder="1" applyAlignment="1">
      <alignment horizontal="left" vertical="center" indent="1"/>
    </xf>
    <xf numFmtId="44" fontId="6" fillId="3" borderId="1" xfId="5" applyNumberFormat="1" applyFont="1" applyFill="1" applyBorder="1" applyAlignment="1" applyProtection="1">
      <alignment horizontal="center" vertical="center" wrapText="1"/>
    </xf>
    <xf numFmtId="44" fontId="6" fillId="3" borderId="20" xfId="5" applyNumberFormat="1" applyFont="1" applyFill="1" applyBorder="1" applyAlignment="1" applyProtection="1">
      <alignment horizontal="center" vertical="center" wrapText="1"/>
    </xf>
    <xf numFmtId="44" fontId="6" fillId="3" borderId="20" xfId="5" applyFont="1" applyFill="1" applyBorder="1" applyAlignment="1" applyProtection="1">
      <alignment horizontal="center" vertical="center" wrapText="1"/>
    </xf>
    <xf numFmtId="44" fontId="16" fillId="3" borderId="20" xfId="5" applyFont="1" applyFill="1" applyBorder="1" applyAlignment="1" applyProtection="1">
      <alignment horizontal="center" vertical="center" wrapText="1"/>
    </xf>
    <xf numFmtId="0" fontId="16" fillId="5" borderId="24" xfId="2" applyFont="1" applyFill="1" applyBorder="1" applyAlignment="1">
      <alignment horizontal="center" vertical="center" wrapText="1"/>
    </xf>
    <xf numFmtId="0" fontId="16" fillId="5" borderId="21" xfId="2" applyFont="1" applyFill="1" applyBorder="1" applyAlignment="1">
      <alignment horizontal="center" vertical="center" wrapText="1"/>
    </xf>
    <xf numFmtId="0" fontId="16" fillId="5" borderId="11" xfId="2" applyFont="1" applyFill="1" applyBorder="1" applyAlignment="1">
      <alignment horizontal="center" vertical="center" wrapText="1"/>
    </xf>
    <xf numFmtId="0" fontId="16" fillId="5" borderId="15" xfId="2" applyFont="1" applyFill="1" applyBorder="1" applyAlignment="1">
      <alignment horizontal="center" vertical="center" wrapText="1"/>
    </xf>
    <xf numFmtId="0" fontId="6" fillId="5" borderId="48" xfId="2" applyFont="1" applyFill="1" applyBorder="1" applyAlignment="1">
      <alignment horizontal="center" vertical="center" wrapText="1"/>
    </xf>
    <xf numFmtId="0" fontId="16" fillId="5" borderId="8" xfId="2" applyFont="1" applyFill="1" applyBorder="1" applyAlignment="1">
      <alignment horizontal="center" vertical="center" wrapText="1"/>
    </xf>
    <xf numFmtId="0" fontId="16" fillId="5" borderId="49" xfId="2" applyFont="1" applyFill="1" applyBorder="1" applyAlignment="1">
      <alignment horizontal="center" vertical="center" wrapText="1"/>
    </xf>
    <xf numFmtId="0" fontId="16" fillId="5" borderId="46" xfId="2" applyFont="1" applyFill="1" applyBorder="1" applyAlignment="1">
      <alignment horizontal="left" vertical="center" indent="1"/>
    </xf>
    <xf numFmtId="0" fontId="16" fillId="5" borderId="14" xfId="2" applyFont="1" applyFill="1" applyBorder="1" applyAlignment="1">
      <alignment horizontal="left" vertical="center" indent="1"/>
    </xf>
    <xf numFmtId="0" fontId="16" fillId="5" borderId="47" xfId="2" applyFont="1" applyFill="1" applyBorder="1" applyAlignment="1">
      <alignment horizontal="left" vertical="center" indent="1"/>
    </xf>
    <xf numFmtId="0" fontId="4" fillId="3" borderId="5" xfId="2" applyFont="1" applyFill="1" applyBorder="1" applyAlignment="1" applyProtection="1">
      <alignment horizontal="right" vertical="center" indent="1"/>
      <protection locked="0"/>
    </xf>
    <xf numFmtId="0" fontId="4" fillId="5" borderId="5" xfId="2" applyFont="1" applyFill="1" applyBorder="1" applyAlignment="1" applyProtection="1">
      <alignment horizontal="center" vertical="center"/>
      <protection locked="0"/>
    </xf>
    <xf numFmtId="0" fontId="16" fillId="2" borderId="35" xfId="2" applyFont="1" applyFill="1" applyBorder="1" applyAlignment="1">
      <alignment horizontal="left" vertical="center" wrapText="1" indent="1"/>
    </xf>
    <xf numFmtId="0" fontId="16" fillId="2" borderId="33" xfId="2" applyFont="1" applyFill="1" applyBorder="1" applyAlignment="1">
      <alignment horizontal="left" vertical="center" wrapText="1" indent="1"/>
    </xf>
    <xf numFmtId="0" fontId="16" fillId="5" borderId="24" xfId="2" applyFont="1" applyFill="1" applyBorder="1" applyAlignment="1">
      <alignment horizontal="left" vertical="center" wrapText="1" indent="1"/>
    </xf>
    <xf numFmtId="0" fontId="16" fillId="5" borderId="15" xfId="2" applyFont="1" applyFill="1" applyBorder="1" applyAlignment="1">
      <alignment horizontal="left" vertical="center" wrapText="1" indent="1"/>
    </xf>
    <xf numFmtId="0" fontId="16" fillId="5" borderId="21" xfId="2" applyFont="1" applyFill="1" applyBorder="1" applyAlignment="1">
      <alignment horizontal="left" vertical="center" wrapText="1" indent="1"/>
    </xf>
    <xf numFmtId="0" fontId="16" fillId="5" borderId="66" xfId="2" applyFont="1" applyFill="1" applyBorder="1" applyAlignment="1">
      <alignment horizontal="left" vertical="center" wrapText="1" indent="1"/>
    </xf>
    <xf numFmtId="0" fontId="16" fillId="5" borderId="33" xfId="2" applyFont="1" applyFill="1" applyBorder="1" applyAlignment="1">
      <alignment horizontal="left" vertical="center" wrapText="1" indent="1"/>
    </xf>
    <xf numFmtId="0" fontId="16" fillId="19" borderId="89" xfId="2" applyFont="1" applyFill="1" applyBorder="1" applyAlignment="1">
      <alignment horizontal="center" vertical="center"/>
    </xf>
    <xf numFmtId="0" fontId="16" fillId="19" borderId="30" xfId="2" applyFont="1" applyFill="1" applyBorder="1" applyAlignment="1">
      <alignment horizontal="center" vertical="center"/>
    </xf>
    <xf numFmtId="0" fontId="6" fillId="2" borderId="92" xfId="2" applyFont="1" applyFill="1" applyBorder="1" applyAlignment="1">
      <alignment horizontal="center" vertical="center" wrapText="1"/>
    </xf>
    <xf numFmtId="0" fontId="6" fillId="2" borderId="93" xfId="2" applyFont="1" applyFill="1" applyBorder="1" applyAlignment="1">
      <alignment horizontal="center" vertical="center" wrapText="1"/>
    </xf>
    <xf numFmtId="0" fontId="6" fillId="2" borderId="87" xfId="2" applyFont="1" applyFill="1" applyBorder="1" applyAlignment="1">
      <alignment horizontal="center" vertical="center" wrapText="1"/>
    </xf>
    <xf numFmtId="0" fontId="6" fillId="5" borderId="4" xfId="2" applyFont="1" applyFill="1" applyBorder="1" applyAlignment="1">
      <alignment horizontal="center" vertical="center" wrapText="1"/>
    </xf>
    <xf numFmtId="0" fontId="6" fillId="19" borderId="32" xfId="2" applyFont="1" applyFill="1" applyBorder="1" applyAlignment="1">
      <alignment horizontal="left" vertical="center" indent="1"/>
    </xf>
    <xf numFmtId="174" fontId="3" fillId="2" borderId="63" xfId="75" applyNumberFormat="1" applyFont="1" applyFill="1" applyBorder="1" applyAlignment="1">
      <alignment horizontal="center" vertical="center"/>
    </xf>
    <xf numFmtId="0" fontId="6" fillId="19" borderId="45" xfId="2" applyFont="1" applyFill="1" applyBorder="1" applyAlignment="1">
      <alignment horizontal="center" vertical="center" wrapText="1"/>
    </xf>
    <xf numFmtId="0" fontId="16" fillId="2" borderId="14" xfId="2" applyFont="1" applyFill="1" applyBorder="1" applyAlignment="1">
      <alignment horizontal="left" vertical="center" wrapText="1" indent="1"/>
    </xf>
    <xf numFmtId="0" fontId="16" fillId="2" borderId="47" xfId="2" applyFont="1" applyFill="1" applyBorder="1" applyAlignment="1">
      <alignment horizontal="left" vertical="center" wrapText="1" indent="1"/>
    </xf>
    <xf numFmtId="0" fontId="16" fillId="2" borderId="46" xfId="2" applyFont="1" applyFill="1" applyBorder="1" applyAlignment="1">
      <alignment horizontal="left" vertical="center" wrapText="1" indent="1"/>
    </xf>
    <xf numFmtId="174" fontId="3" fillId="2" borderId="63" xfId="75" applyNumberFormat="1" applyFont="1" applyFill="1" applyBorder="1" applyAlignment="1">
      <alignment horizontal="center" vertical="center"/>
    </xf>
    <xf numFmtId="0" fontId="6" fillId="19" borderId="7" xfId="2" applyFont="1" applyFill="1" applyBorder="1" applyAlignment="1">
      <alignment horizontal="left" vertical="center" indent="1"/>
    </xf>
    <xf numFmtId="0" fontId="6" fillId="19" borderId="32" xfId="2" applyFont="1" applyFill="1" applyBorder="1" applyAlignment="1">
      <alignment horizontal="left" vertical="center" indent="1"/>
    </xf>
    <xf numFmtId="0" fontId="6" fillId="19" borderId="45" xfId="2" applyFont="1" applyFill="1" applyBorder="1" applyAlignment="1">
      <alignment horizontal="left" vertical="center" indent="1"/>
    </xf>
    <xf numFmtId="0" fontId="6" fillId="19" borderId="45" xfId="2" applyFont="1" applyFill="1" applyBorder="1" applyAlignment="1">
      <alignment horizontal="center" vertical="center" wrapText="1"/>
    </xf>
    <xf numFmtId="0" fontId="6" fillId="19" borderId="30" xfId="2" applyFont="1" applyFill="1" applyBorder="1" applyAlignment="1">
      <alignment horizontal="center" vertical="center" wrapText="1"/>
    </xf>
    <xf numFmtId="0" fontId="16" fillId="2" borderId="49" xfId="2" applyFont="1" applyFill="1" applyBorder="1" applyAlignment="1">
      <alignment horizontal="left" vertical="center" wrapText="1" indent="1"/>
    </xf>
    <xf numFmtId="0" fontId="16" fillId="2" borderId="47" xfId="2" applyFont="1" applyFill="1" applyBorder="1" applyAlignment="1">
      <alignment horizontal="left" vertical="center" wrapText="1" indent="1"/>
    </xf>
    <xf numFmtId="0" fontId="16" fillId="2" borderId="14" xfId="2" applyFont="1" applyFill="1" applyBorder="1" applyAlignment="1">
      <alignment horizontal="left" vertical="center" wrapText="1" indent="1"/>
    </xf>
    <xf numFmtId="0" fontId="16" fillId="2" borderId="48" xfId="2" applyFont="1" applyFill="1" applyBorder="1" applyAlignment="1">
      <alignment horizontal="left" vertical="center" wrapText="1" indent="1"/>
    </xf>
    <xf numFmtId="0" fontId="16" fillId="2" borderId="46" xfId="2" applyFont="1" applyFill="1" applyBorder="1" applyAlignment="1">
      <alignment horizontal="left" vertical="center" wrapText="1" indent="1"/>
    </xf>
    <xf numFmtId="0" fontId="6" fillId="19" borderId="7" xfId="2" applyFont="1" applyFill="1" applyBorder="1" applyAlignment="1">
      <alignment horizontal="left" vertical="center" wrapText="1" indent="1"/>
    </xf>
    <xf numFmtId="0" fontId="6" fillId="2" borderId="0" xfId="2" applyFont="1" applyFill="1" applyBorder="1" applyAlignment="1">
      <alignment horizontal="left" vertical="center" wrapText="1" indent="1"/>
    </xf>
    <xf numFmtId="0" fontId="16" fillId="5" borderId="92" xfId="2" applyFont="1" applyFill="1" applyBorder="1" applyAlignment="1">
      <alignment horizontal="center" vertical="center"/>
    </xf>
    <xf numFmtId="0" fontId="16" fillId="5" borderId="11" xfId="2" applyFont="1" applyFill="1" applyBorder="1" applyAlignment="1">
      <alignment horizontal="center" vertical="center"/>
    </xf>
    <xf numFmtId="44" fontId="3" fillId="0" borderId="0" xfId="2" applyNumberFormat="1" applyFont="1" applyAlignment="1" applyProtection="1">
      <alignment horizontal="center" vertical="center"/>
      <protection locked="0"/>
    </xf>
    <xf numFmtId="0" fontId="6" fillId="5" borderId="5" xfId="3" applyFont="1" applyFill="1" applyBorder="1" applyAlignment="1" applyProtection="1">
      <alignment horizontal="center" vertical="center"/>
    </xf>
    <xf numFmtId="0" fontId="6" fillId="5" borderId="24" xfId="3" applyFont="1" applyFill="1" applyBorder="1" applyAlignment="1" applyProtection="1">
      <alignment horizontal="center" vertical="center"/>
    </xf>
    <xf numFmtId="0" fontId="6" fillId="5" borderId="15" xfId="3" applyFont="1" applyFill="1" applyBorder="1" applyAlignment="1" applyProtection="1">
      <alignment horizontal="center" vertical="center"/>
    </xf>
    <xf numFmtId="0" fontId="16" fillId="5" borderId="11" xfId="6" applyFont="1" applyFill="1" applyBorder="1" applyAlignment="1" applyProtection="1">
      <alignment horizontal="center" vertical="center"/>
    </xf>
    <xf numFmtId="0" fontId="16" fillId="5" borderId="15" xfId="3" applyFont="1" applyFill="1" applyBorder="1" applyAlignment="1" applyProtection="1">
      <alignment horizontal="center" vertical="center"/>
    </xf>
    <xf numFmtId="0" fontId="6" fillId="5" borderId="11" xfId="3" applyFont="1" applyFill="1" applyBorder="1" applyAlignment="1" applyProtection="1">
      <alignment horizontal="center" vertical="center"/>
    </xf>
    <xf numFmtId="0" fontId="9" fillId="5" borderId="11" xfId="6" applyFont="1" applyFill="1" applyBorder="1" applyAlignment="1" applyProtection="1">
      <alignment horizontal="center" vertical="center"/>
    </xf>
    <xf numFmtId="0" fontId="11" fillId="5" borderId="11" xfId="6" applyFont="1" applyFill="1" applyBorder="1" applyAlignment="1" applyProtection="1">
      <alignment horizontal="center" vertical="center"/>
    </xf>
    <xf numFmtId="0" fontId="6" fillId="5" borderId="11" xfId="6" applyFont="1" applyFill="1" applyBorder="1" applyAlignment="1" applyProtection="1">
      <alignment horizontal="center" vertical="center"/>
    </xf>
    <xf numFmtId="0" fontId="16" fillId="5" borderId="11" xfId="3" applyFont="1" applyFill="1" applyBorder="1" applyAlignment="1" applyProtection="1">
      <alignment horizontal="center" vertical="center"/>
    </xf>
    <xf numFmtId="0" fontId="6" fillId="5" borderId="6" xfId="3" applyFont="1" applyFill="1" applyBorder="1" applyAlignment="1" applyProtection="1">
      <alignment horizontal="center" vertical="center"/>
    </xf>
    <xf numFmtId="0" fontId="3" fillId="5" borderId="15" xfId="6" applyFont="1" applyFill="1" applyBorder="1" applyAlignment="1" applyProtection="1">
      <alignment horizontal="center" vertical="center"/>
    </xf>
    <xf numFmtId="0" fontId="16" fillId="5" borderId="15" xfId="6" applyFont="1" applyFill="1" applyBorder="1" applyAlignment="1" applyProtection="1">
      <alignment horizontal="center" vertical="center"/>
    </xf>
    <xf numFmtId="0" fontId="6" fillId="5" borderId="15" xfId="6" applyFont="1" applyFill="1" applyBorder="1" applyAlignment="1" applyProtection="1">
      <alignment horizontal="center" vertical="center"/>
    </xf>
    <xf numFmtId="0" fontId="6" fillId="5" borderId="11" xfId="4" applyFont="1" applyFill="1" applyBorder="1" applyAlignment="1">
      <alignment horizontal="center" vertical="center"/>
    </xf>
    <xf numFmtId="0" fontId="6" fillId="5" borderId="15" xfId="4" applyFont="1" applyFill="1" applyBorder="1" applyAlignment="1">
      <alignment horizontal="center" vertical="center"/>
    </xf>
    <xf numFmtId="0" fontId="16" fillId="5" borderId="15" xfId="4" applyFont="1" applyFill="1" applyBorder="1" applyAlignment="1">
      <alignment horizontal="center" vertical="center"/>
    </xf>
    <xf numFmtId="0" fontId="16" fillId="5" borderId="21" xfId="6" applyFont="1" applyFill="1" applyBorder="1" applyAlignment="1" applyProtection="1">
      <alignment horizontal="center" vertical="center"/>
    </xf>
    <xf numFmtId="0" fontId="3" fillId="0" borderId="0" xfId="2" applyFont="1" applyBorder="1" applyAlignment="1" applyProtection="1">
      <alignment horizontal="center" vertical="center"/>
      <protection locked="0"/>
    </xf>
    <xf numFmtId="0" fontId="3" fillId="5" borderId="11" xfId="4" applyFont="1" applyFill="1" applyBorder="1" applyAlignment="1">
      <alignment horizontal="center" vertical="center"/>
    </xf>
    <xf numFmtId="0" fontId="3" fillId="5" borderId="15" xfId="4" applyFont="1" applyFill="1" applyBorder="1" applyAlignment="1">
      <alignment horizontal="center" vertical="center"/>
    </xf>
    <xf numFmtId="0" fontId="4" fillId="5" borderId="15" xfId="4" applyFont="1" applyFill="1" applyBorder="1" applyAlignment="1">
      <alignment horizontal="center" vertical="center"/>
    </xf>
    <xf numFmtId="0" fontId="9" fillId="5" borderId="15" xfId="6" applyFont="1" applyFill="1" applyBorder="1" applyAlignment="1" applyProtection="1">
      <alignment horizontal="center" vertical="center" wrapText="1"/>
      <protection locked="0"/>
    </xf>
    <xf numFmtId="0" fontId="9" fillId="5" borderId="21" xfId="6" applyFont="1" applyFill="1" applyBorder="1" applyAlignment="1" applyProtection="1">
      <alignment horizontal="center" vertical="center" wrapText="1"/>
      <protection locked="0"/>
    </xf>
    <xf numFmtId="0" fontId="3" fillId="0" borderId="0" xfId="2" applyFont="1" applyFill="1" applyBorder="1" applyAlignment="1" applyProtection="1">
      <alignment horizontal="center" vertical="center"/>
      <protection locked="0"/>
    </xf>
    <xf numFmtId="0" fontId="16" fillId="5" borderId="66" xfId="2" applyFont="1" applyFill="1" applyBorder="1" applyAlignment="1">
      <alignment horizontal="center" vertical="center" wrapText="1"/>
    </xf>
    <xf numFmtId="0" fontId="16" fillId="5" borderId="33" xfId="2" applyFont="1" applyFill="1" applyBorder="1" applyAlignment="1">
      <alignment horizontal="center" vertical="center" wrapText="1"/>
    </xf>
    <xf numFmtId="0" fontId="6" fillId="19" borderId="32" xfId="2" applyFont="1" applyFill="1" applyBorder="1" applyAlignment="1">
      <alignment horizontal="center" vertical="center"/>
    </xf>
    <xf numFmtId="0" fontId="16" fillId="5" borderId="46" xfId="2" applyFont="1" applyFill="1" applyBorder="1" applyAlignment="1">
      <alignment horizontal="center" vertical="center"/>
    </xf>
    <xf numFmtId="0" fontId="16" fillId="5" borderId="47" xfId="2" applyFont="1" applyFill="1" applyBorder="1" applyAlignment="1">
      <alignment horizontal="center" vertical="center"/>
    </xf>
    <xf numFmtId="0" fontId="16" fillId="5" borderId="14" xfId="2" applyFont="1" applyFill="1" applyBorder="1" applyAlignment="1">
      <alignment horizontal="center" vertical="center"/>
    </xf>
    <xf numFmtId="0" fontId="16" fillId="5" borderId="15" xfId="2" applyFont="1" applyFill="1" applyBorder="1" applyAlignment="1">
      <alignment horizontal="center" vertical="center"/>
    </xf>
    <xf numFmtId="0" fontId="16" fillId="5" borderId="21" xfId="2" applyFont="1" applyFill="1" applyBorder="1" applyAlignment="1">
      <alignment horizontal="center" vertical="center"/>
    </xf>
    <xf numFmtId="0" fontId="4" fillId="0" borderId="2" xfId="2" applyFont="1" applyBorder="1" applyAlignment="1" applyProtection="1">
      <alignment horizontal="center" vertical="center"/>
      <protection locked="0"/>
    </xf>
    <xf numFmtId="0" fontId="4" fillId="0" borderId="30" xfId="2" applyFont="1" applyBorder="1" applyAlignment="1" applyProtection="1">
      <alignment horizontal="center" vertical="center"/>
      <protection locked="0"/>
    </xf>
    <xf numFmtId="42" fontId="6" fillId="3" borderId="1" xfId="5" applyNumberFormat="1" applyFont="1" applyFill="1" applyBorder="1" applyAlignment="1" applyProtection="1">
      <alignment horizontal="center" vertical="center" wrapText="1"/>
    </xf>
    <xf numFmtId="42" fontId="16" fillId="2" borderId="25" xfId="5" applyNumberFormat="1" applyFont="1" applyFill="1" applyBorder="1" applyAlignment="1" applyProtection="1">
      <alignment horizontal="center" vertical="center" wrapText="1"/>
    </xf>
    <xf numFmtId="42" fontId="16" fillId="2" borderId="20" xfId="5" applyNumberFormat="1" applyFont="1" applyFill="1" applyBorder="1" applyAlignment="1" applyProtection="1">
      <alignment horizontal="center" vertical="center" wrapText="1"/>
    </xf>
    <xf numFmtId="42" fontId="6" fillId="2" borderId="20" xfId="5" applyNumberFormat="1" applyFont="1" applyFill="1" applyBorder="1" applyAlignment="1" applyProtection="1">
      <alignment horizontal="center" vertical="center" wrapText="1"/>
    </xf>
    <xf numFmtId="42" fontId="6" fillId="3" borderId="20" xfId="5" applyNumberFormat="1" applyFont="1" applyFill="1" applyBorder="1" applyAlignment="1" applyProtection="1">
      <alignment horizontal="center" vertical="center" wrapText="1"/>
    </xf>
    <xf numFmtId="42" fontId="3" fillId="2" borderId="20" xfId="5" applyNumberFormat="1" applyFont="1" applyFill="1" applyBorder="1" applyAlignment="1" applyProtection="1">
      <alignment horizontal="center" vertical="center"/>
      <protection locked="0"/>
    </xf>
    <xf numFmtId="42" fontId="3" fillId="3" borderId="20" xfId="5" applyNumberFormat="1" applyFont="1" applyFill="1" applyBorder="1" applyAlignment="1" applyProtection="1">
      <alignment horizontal="center" vertical="center"/>
      <protection locked="0"/>
    </xf>
    <xf numFmtId="42" fontId="3" fillId="6" borderId="20" xfId="5" applyNumberFormat="1" applyFont="1" applyFill="1" applyBorder="1" applyAlignment="1" applyProtection="1">
      <alignment horizontal="center" vertical="center"/>
      <protection locked="0"/>
    </xf>
    <xf numFmtId="42" fontId="16" fillId="2" borderId="28" xfId="2" applyNumberFormat="1" applyFont="1" applyFill="1" applyBorder="1" applyAlignment="1" applyProtection="1">
      <alignment vertical="center"/>
      <protection locked="0"/>
    </xf>
    <xf numFmtId="42" fontId="16" fillId="6" borderId="23" xfId="2" applyNumberFormat="1" applyFont="1" applyFill="1" applyBorder="1" applyAlignment="1" applyProtection="1">
      <alignment vertical="center"/>
      <protection locked="0"/>
    </xf>
    <xf numFmtId="42" fontId="3" fillId="0" borderId="0" xfId="2" applyNumberFormat="1" applyFont="1" applyAlignment="1" applyProtection="1">
      <alignment horizontal="center" vertical="center"/>
      <protection locked="0"/>
    </xf>
    <xf numFmtId="42" fontId="3" fillId="7" borderId="15" xfId="5" applyNumberFormat="1" applyFont="1" applyFill="1" applyBorder="1" applyAlignment="1" applyProtection="1">
      <alignment horizontal="center" vertical="center"/>
    </xf>
    <xf numFmtId="42" fontId="3" fillId="7" borderId="21" xfId="5" applyNumberFormat="1" applyFont="1" applyFill="1" applyBorder="1" applyAlignment="1" applyProtection="1">
      <alignment horizontal="center" vertical="center"/>
    </xf>
    <xf numFmtId="42" fontId="3" fillId="0" borderId="0" xfId="2" applyNumberFormat="1" applyFont="1" applyBorder="1" applyAlignment="1" applyProtection="1">
      <alignment horizontal="center" vertical="center"/>
      <protection locked="0"/>
    </xf>
    <xf numFmtId="42" fontId="3" fillId="0" borderId="0" xfId="2" applyNumberFormat="1" applyFont="1" applyAlignment="1" applyProtection="1">
      <alignment vertical="center"/>
      <protection locked="0"/>
    </xf>
    <xf numFmtId="42" fontId="6" fillId="19" borderId="32" xfId="2" applyNumberFormat="1" applyFont="1" applyFill="1" applyBorder="1" applyAlignment="1">
      <alignment vertical="center"/>
    </xf>
    <xf numFmtId="42" fontId="6" fillId="19" borderId="32" xfId="2" applyNumberFormat="1" applyFont="1" applyFill="1" applyBorder="1" applyAlignment="1">
      <alignment horizontal="left" vertical="center" indent="1"/>
    </xf>
    <xf numFmtId="42" fontId="16" fillId="19" borderId="50" xfId="2" applyNumberFormat="1" applyFont="1" applyFill="1" applyBorder="1" applyAlignment="1">
      <alignment horizontal="center" vertical="center"/>
    </xf>
    <xf numFmtId="42" fontId="3" fillId="0" borderId="55" xfId="75" applyNumberFormat="1" applyFont="1" applyBorder="1" applyAlignment="1">
      <alignment horizontal="center" vertical="center"/>
    </xf>
    <xf numFmtId="42" fontId="3" fillId="0" borderId="57" xfId="75" applyNumberFormat="1" applyFont="1" applyBorder="1" applyAlignment="1">
      <alignment horizontal="center" vertical="center"/>
    </xf>
    <xf numFmtId="42" fontId="3" fillId="0" borderId="59" xfId="75" applyNumberFormat="1" applyFont="1" applyBorder="1" applyAlignment="1">
      <alignment horizontal="center" vertical="center"/>
    </xf>
    <xf numFmtId="42" fontId="3" fillId="0" borderId="61" xfId="75" applyNumberFormat="1" applyFont="1" applyBorder="1" applyAlignment="1">
      <alignment horizontal="center" vertical="center"/>
    </xf>
    <xf numFmtId="42" fontId="3" fillId="0" borderId="63" xfId="75" applyNumberFormat="1" applyFont="1" applyBorder="1" applyAlignment="1">
      <alignment horizontal="center" vertical="center"/>
    </xf>
    <xf numFmtId="42" fontId="3" fillId="2" borderId="63" xfId="75" applyNumberFormat="1" applyFont="1" applyFill="1" applyBorder="1" applyAlignment="1">
      <alignment horizontal="center" vertical="center"/>
    </xf>
    <xf numFmtId="42" fontId="3" fillId="0" borderId="0" xfId="0" applyNumberFormat="1" applyFont="1" applyAlignment="1">
      <alignment vertical="center"/>
    </xf>
    <xf numFmtId="42" fontId="3" fillId="0" borderId="0" xfId="0" applyNumberFormat="1" applyFont="1" applyFill="1" applyAlignment="1">
      <alignment vertical="center"/>
    </xf>
    <xf numFmtId="42" fontId="16" fillId="19" borderId="3" xfId="2" applyNumberFormat="1" applyFont="1" applyFill="1" applyBorder="1" applyAlignment="1">
      <alignment horizontal="center" vertical="center"/>
    </xf>
    <xf numFmtId="42" fontId="3" fillId="2" borderId="19" xfId="5" applyNumberFormat="1" applyFont="1" applyFill="1" applyBorder="1" applyAlignment="1" applyProtection="1">
      <alignment horizontal="center" vertical="center"/>
      <protection locked="0"/>
    </xf>
    <xf numFmtId="0" fontId="6" fillId="0" borderId="0" xfId="2" applyFont="1" applyFill="1" applyBorder="1" applyAlignment="1">
      <alignment horizontal="center" vertical="center" wrapText="1"/>
    </xf>
    <xf numFmtId="42" fontId="4" fillId="3" borderId="2" xfId="5" applyNumberFormat="1" applyFont="1" applyFill="1" applyBorder="1" applyAlignment="1" applyProtection="1">
      <alignment horizontal="center" vertical="center"/>
    </xf>
    <xf numFmtId="42" fontId="3" fillId="3" borderId="13" xfId="5" applyNumberFormat="1" applyFont="1" applyFill="1" applyBorder="1" applyAlignment="1" applyProtection="1">
      <alignment horizontal="center" vertical="center"/>
    </xf>
    <xf numFmtId="42" fontId="3" fillId="2" borderId="20" xfId="5" applyNumberFormat="1" applyFont="1" applyFill="1" applyBorder="1" applyAlignment="1" applyProtection="1">
      <alignment horizontal="center" vertical="center"/>
    </xf>
    <xf numFmtId="42" fontId="3" fillId="2" borderId="13" xfId="5" applyNumberFormat="1" applyFont="1" applyFill="1" applyBorder="1" applyAlignment="1" applyProtection="1">
      <alignment horizontal="center" vertical="center"/>
    </xf>
    <xf numFmtId="42" fontId="3" fillId="3" borderId="20" xfId="5" applyNumberFormat="1" applyFont="1" applyFill="1" applyBorder="1" applyAlignment="1" applyProtection="1">
      <alignment horizontal="center" vertical="center"/>
    </xf>
    <xf numFmtId="42" fontId="3" fillId="2" borderId="94" xfId="5" applyNumberFormat="1" applyFont="1" applyFill="1" applyBorder="1" applyAlignment="1" applyProtection="1">
      <alignment horizontal="center" vertical="center"/>
    </xf>
    <xf numFmtId="42" fontId="3" fillId="0" borderId="19" xfId="5" applyNumberFormat="1" applyFont="1" applyBorder="1" applyAlignment="1" applyProtection="1">
      <alignment horizontal="center" vertical="center"/>
      <protection locked="0"/>
    </xf>
    <xf numFmtId="42" fontId="3" fillId="0" borderId="94" xfId="5" applyNumberFormat="1" applyFont="1" applyBorder="1" applyAlignment="1" applyProtection="1">
      <alignment horizontal="center" vertical="center"/>
      <protection locked="0"/>
    </xf>
    <xf numFmtId="42" fontId="3" fillId="2" borderId="13" xfId="2" applyNumberFormat="1" applyFont="1" applyFill="1" applyBorder="1" applyAlignment="1" applyProtection="1">
      <alignment horizontal="center" vertical="center"/>
    </xf>
    <xf numFmtId="42" fontId="3" fillId="0" borderId="13" xfId="2" applyNumberFormat="1" applyFont="1" applyBorder="1" applyAlignment="1" applyProtection="1">
      <alignment horizontal="center" vertical="center"/>
      <protection locked="0"/>
    </xf>
    <xf numFmtId="42" fontId="3" fillId="2" borderId="20" xfId="2" applyNumberFormat="1" applyFont="1" applyFill="1" applyBorder="1" applyAlignment="1" applyProtection="1">
      <alignment horizontal="center" vertical="center"/>
    </xf>
    <xf numFmtId="42" fontId="3" fillId="3" borderId="34" xfId="5" applyNumberFormat="1" applyFont="1" applyFill="1" applyBorder="1" applyAlignment="1" applyProtection="1">
      <alignment horizontal="center" vertical="center"/>
    </xf>
    <xf numFmtId="42" fontId="15" fillId="2" borderId="34" xfId="4" applyNumberFormat="1" applyFont="1" applyFill="1" applyBorder="1" applyAlignment="1" applyProtection="1">
      <alignment horizontal="left" vertical="center" wrapText="1" indent="6"/>
    </xf>
    <xf numFmtId="42" fontId="15" fillId="2" borderId="12" xfId="4" applyNumberFormat="1" applyFont="1" applyFill="1" applyBorder="1" applyAlignment="1" applyProtection="1">
      <alignment horizontal="left" vertical="center" wrapText="1" indent="6"/>
    </xf>
    <xf numFmtId="42" fontId="15" fillId="2" borderId="14" xfId="4" applyNumberFormat="1" applyFont="1" applyFill="1" applyBorder="1" applyAlignment="1" applyProtection="1">
      <alignment horizontal="left" vertical="center" wrapText="1" indent="6"/>
    </xf>
    <xf numFmtId="42" fontId="3" fillId="2" borderId="13" xfId="5" applyNumberFormat="1" applyFont="1" applyFill="1" applyBorder="1" applyAlignment="1" applyProtection="1">
      <alignment horizontal="center" vertical="center"/>
      <protection locked="0"/>
    </xf>
    <xf numFmtId="42" fontId="3" fillId="2" borderId="10" xfId="5" applyNumberFormat="1" applyFont="1" applyFill="1" applyBorder="1" applyAlignment="1" applyProtection="1">
      <alignment horizontal="center" vertical="center"/>
      <protection locked="0"/>
    </xf>
    <xf numFmtId="42" fontId="3" fillId="0" borderId="20" xfId="5" applyNumberFormat="1" applyFont="1" applyBorder="1" applyAlignment="1" applyProtection="1">
      <alignment vertical="center"/>
      <protection locked="0"/>
    </xf>
    <xf numFmtId="42" fontId="3" fillId="2" borderId="20" xfId="5" applyNumberFormat="1" applyFont="1" applyFill="1" applyBorder="1" applyAlignment="1" applyProtection="1">
      <alignment vertical="center"/>
      <protection locked="0"/>
    </xf>
    <xf numFmtId="42" fontId="16" fillId="0" borderId="20" xfId="5" applyNumberFormat="1" applyFont="1" applyBorder="1" applyAlignment="1" applyProtection="1">
      <alignment vertical="center"/>
      <protection locked="0"/>
    </xf>
    <xf numFmtId="42" fontId="16" fillId="2" borderId="20" xfId="5" applyNumberFormat="1" applyFont="1" applyFill="1" applyBorder="1" applyAlignment="1" applyProtection="1">
      <alignment horizontal="center" vertical="center"/>
    </xf>
    <xf numFmtId="42" fontId="16" fillId="0" borderId="29" xfId="5" applyNumberFormat="1" applyFont="1" applyBorder="1" applyAlignment="1" applyProtection="1">
      <alignment vertical="center"/>
      <protection locked="0"/>
    </xf>
    <xf numFmtId="42" fontId="16" fillId="0" borderId="28" xfId="5" applyNumberFormat="1" applyFont="1" applyBorder="1" applyAlignment="1" applyProtection="1">
      <alignment vertical="center"/>
      <protection locked="0"/>
    </xf>
    <xf numFmtId="42" fontId="3" fillId="2" borderId="13" xfId="5" applyNumberFormat="1" applyFont="1" applyFill="1" applyBorder="1" applyAlignment="1" applyProtection="1">
      <alignment vertical="center"/>
      <protection locked="0"/>
    </xf>
    <xf numFmtId="42" fontId="3" fillId="0" borderId="13" xfId="5" applyNumberFormat="1" applyFont="1" applyBorder="1" applyAlignment="1" applyProtection="1">
      <alignment vertical="center"/>
      <protection locked="0"/>
    </xf>
    <xf numFmtId="42" fontId="3" fillId="0" borderId="20" xfId="5" applyNumberFormat="1" applyFont="1" applyFill="1" applyBorder="1" applyAlignment="1" applyProtection="1">
      <alignment horizontal="center" vertical="center"/>
      <protection locked="0"/>
    </xf>
    <xf numFmtId="42" fontId="3" fillId="2" borderId="28" xfId="5" applyNumberFormat="1" applyFont="1" applyFill="1" applyBorder="1" applyAlignment="1" applyProtection="1">
      <alignment horizontal="center" vertical="center"/>
      <protection locked="0"/>
    </xf>
    <xf numFmtId="42" fontId="3" fillId="2" borderId="28" xfId="5" applyNumberFormat="1" applyFont="1" applyFill="1" applyBorder="1" applyAlignment="1" applyProtection="1">
      <alignment vertical="center"/>
      <protection locked="0"/>
    </xf>
    <xf numFmtId="42" fontId="3" fillId="0" borderId="23" xfId="5" applyNumberFormat="1" applyFont="1" applyBorder="1" applyAlignment="1" applyProtection="1">
      <alignment vertical="center"/>
      <protection locked="0"/>
    </xf>
    <xf numFmtId="42" fontId="4" fillId="3" borderId="25" xfId="5" applyNumberFormat="1" applyFont="1" applyFill="1" applyBorder="1" applyAlignment="1" applyProtection="1">
      <alignment horizontal="center" vertical="center"/>
    </xf>
    <xf numFmtId="42" fontId="4" fillId="3" borderId="20" xfId="5" applyNumberFormat="1" applyFont="1" applyFill="1" applyBorder="1" applyAlignment="1" applyProtection="1">
      <alignment horizontal="center" vertical="center"/>
    </xf>
    <xf numFmtId="42" fontId="15" fillId="2" borderId="20" xfId="4" applyNumberFormat="1" applyFont="1" applyFill="1" applyBorder="1" applyAlignment="1" applyProtection="1">
      <alignment horizontal="left" vertical="center" wrapText="1" indent="6"/>
    </xf>
    <xf numFmtId="42" fontId="15" fillId="2" borderId="13" xfId="4" applyNumberFormat="1" applyFont="1" applyFill="1" applyBorder="1" applyAlignment="1" applyProtection="1">
      <alignment horizontal="left" vertical="center" wrapText="1" indent="6"/>
    </xf>
    <xf numFmtId="0" fontId="6" fillId="5" borderId="50" xfId="3" applyFont="1" applyFill="1" applyBorder="1" applyAlignment="1" applyProtection="1">
      <alignment horizontal="left" vertical="center" indent="1"/>
      <protection locked="0"/>
    </xf>
    <xf numFmtId="0" fontId="9" fillId="5" borderId="48" xfId="6" applyFont="1" applyFill="1" applyBorder="1" applyAlignment="1" applyProtection="1">
      <alignment horizontal="left" vertical="center" indent="1"/>
      <protection locked="0"/>
    </xf>
    <xf numFmtId="0" fontId="9" fillId="5" borderId="71" xfId="6" applyFont="1" applyFill="1" applyBorder="1" applyAlignment="1" applyProtection="1">
      <alignment horizontal="left" vertical="center" indent="1"/>
      <protection locked="0"/>
    </xf>
    <xf numFmtId="0" fontId="11" fillId="5" borderId="71" xfId="6" applyFont="1" applyFill="1" applyBorder="1" applyAlignment="1" applyProtection="1">
      <alignment horizontal="left" vertical="center" indent="1"/>
      <protection locked="0"/>
    </xf>
    <xf numFmtId="0" fontId="9" fillId="5" borderId="49" xfId="6" applyFont="1" applyFill="1" applyBorder="1" applyAlignment="1" applyProtection="1">
      <alignment horizontal="left" vertical="center" indent="1"/>
      <protection locked="0"/>
    </xf>
    <xf numFmtId="0" fontId="7" fillId="3" borderId="4" xfId="4" applyFont="1" applyFill="1" applyBorder="1" applyAlignment="1" applyProtection="1">
      <alignment vertical="center" wrapText="1"/>
      <protection locked="0"/>
    </xf>
    <xf numFmtId="0" fontId="10" fillId="6" borderId="24" xfId="4" applyFont="1" applyFill="1" applyBorder="1" applyAlignment="1" applyProtection="1">
      <alignment horizontal="left" vertical="center" wrapText="1" indent="2"/>
      <protection locked="0"/>
    </xf>
    <xf numFmtId="0" fontId="10" fillId="2" borderId="15" xfId="4" applyFont="1" applyFill="1" applyBorder="1" applyAlignment="1" applyProtection="1">
      <alignment horizontal="left" vertical="center" wrapText="1" indent="2"/>
      <protection locked="0"/>
    </xf>
    <xf numFmtId="0" fontId="10" fillId="3" borderId="15" xfId="4" applyFont="1" applyFill="1" applyBorder="1" applyAlignment="1" applyProtection="1">
      <alignment horizontal="left" vertical="center" wrapText="1" indent="2"/>
      <protection locked="0"/>
    </xf>
    <xf numFmtId="0" fontId="12" fillId="6" borderId="15" xfId="4" applyFont="1" applyFill="1" applyBorder="1" applyAlignment="1" applyProtection="1">
      <alignment horizontal="left" vertical="center" wrapText="1" indent="3"/>
      <protection locked="0"/>
    </xf>
    <xf numFmtId="0" fontId="13" fillId="6" borderId="15" xfId="4" applyFont="1" applyFill="1" applyBorder="1" applyAlignment="1" applyProtection="1">
      <alignment horizontal="left" vertical="center" wrapText="1" indent="3"/>
      <protection locked="0"/>
    </xf>
    <xf numFmtId="0" fontId="13" fillId="2" borderId="15" xfId="4" applyFont="1" applyFill="1" applyBorder="1" applyAlignment="1" applyProtection="1">
      <alignment horizontal="left" vertical="center" wrapText="1" indent="3"/>
      <protection locked="0"/>
    </xf>
    <xf numFmtId="0" fontId="13" fillId="6" borderId="21" xfId="4" applyFont="1" applyFill="1" applyBorder="1" applyAlignment="1" applyProtection="1">
      <alignment horizontal="left" vertical="center" wrapText="1" indent="3"/>
      <protection locked="0"/>
    </xf>
    <xf numFmtId="42" fontId="4" fillId="3" borderId="51" xfId="5" applyNumberFormat="1" applyFont="1" applyFill="1" applyBorder="1" applyAlignment="1" applyProtection="1">
      <alignment horizontal="center" vertical="center"/>
    </xf>
    <xf numFmtId="42" fontId="3" fillId="7" borderId="46" xfId="5" applyNumberFormat="1" applyFont="1" applyFill="1" applyBorder="1" applyAlignment="1" applyProtection="1">
      <alignment horizontal="center" vertical="center"/>
    </xf>
    <xf numFmtId="42" fontId="3" fillId="7" borderId="66" xfId="5" applyNumberFormat="1" applyFont="1" applyFill="1" applyBorder="1" applyAlignment="1" applyProtection="1">
      <alignment horizontal="center" vertical="center"/>
    </xf>
    <xf numFmtId="42" fontId="4" fillId="3" borderId="14" xfId="5" applyNumberFormat="1" applyFont="1" applyFill="1" applyBorder="1" applyAlignment="1" applyProtection="1">
      <alignment horizontal="center" vertical="center"/>
    </xf>
    <xf numFmtId="42" fontId="3" fillId="7" borderId="14" xfId="5" applyNumberFormat="1" applyFont="1" applyFill="1" applyBorder="1" applyAlignment="1" applyProtection="1">
      <alignment horizontal="center" vertical="center"/>
    </xf>
    <xf numFmtId="42" fontId="3" fillId="7" borderId="47" xfId="5" applyNumberFormat="1" applyFont="1" applyFill="1" applyBorder="1" applyAlignment="1" applyProtection="1">
      <alignment horizontal="center" vertical="center"/>
    </xf>
    <xf numFmtId="42" fontId="6" fillId="3" borderId="74" xfId="5" applyNumberFormat="1" applyFont="1" applyFill="1" applyBorder="1" applyAlignment="1" applyProtection="1">
      <alignment horizontal="center" vertical="center" wrapText="1"/>
    </xf>
    <xf numFmtId="42" fontId="6" fillId="3" borderId="53" xfId="5" applyNumberFormat="1" applyFont="1" applyFill="1" applyBorder="1" applyAlignment="1" applyProtection="1">
      <alignment horizontal="center" vertical="center" wrapText="1"/>
    </xf>
    <xf numFmtId="42" fontId="16" fillId="2" borderId="42" xfId="5" applyNumberFormat="1" applyFont="1" applyFill="1" applyBorder="1" applyAlignment="1" applyProtection="1">
      <alignment horizontal="center" vertical="center" wrapText="1"/>
    </xf>
    <xf numFmtId="42" fontId="6" fillId="2" borderId="36" xfId="5" applyNumberFormat="1" applyFont="1" applyFill="1" applyBorder="1" applyAlignment="1" applyProtection="1">
      <alignment horizontal="center" vertical="center" wrapText="1"/>
    </xf>
    <xf numFmtId="42" fontId="16" fillId="2" borderId="9" xfId="5" applyNumberFormat="1" applyFont="1" applyFill="1" applyBorder="1" applyAlignment="1" applyProtection="1">
      <alignment horizontal="center" vertical="center" wrapText="1"/>
    </xf>
    <xf numFmtId="42" fontId="6" fillId="2" borderId="10" xfId="5" applyNumberFormat="1" applyFont="1" applyFill="1" applyBorder="1" applyAlignment="1" applyProtection="1">
      <alignment horizontal="center" vertical="center" wrapText="1"/>
    </xf>
    <xf numFmtId="42" fontId="6" fillId="3" borderId="9" xfId="5" applyNumberFormat="1" applyFont="1" applyFill="1" applyBorder="1" applyAlignment="1" applyProtection="1">
      <alignment horizontal="center" vertical="center" wrapText="1"/>
    </xf>
    <xf numFmtId="42" fontId="6" fillId="3" borderId="10" xfId="5" applyNumberFormat="1" applyFont="1" applyFill="1" applyBorder="1" applyAlignment="1" applyProtection="1">
      <alignment horizontal="center" vertical="center" wrapText="1"/>
    </xf>
    <xf numFmtId="42" fontId="3" fillId="2" borderId="9" xfId="5" applyNumberFormat="1" applyFont="1" applyFill="1" applyBorder="1" applyAlignment="1" applyProtection="1">
      <alignment horizontal="center" vertical="center"/>
      <protection locked="0"/>
    </xf>
    <xf numFmtId="42" fontId="16" fillId="2" borderId="10" xfId="5" applyNumberFormat="1" applyFont="1" applyFill="1" applyBorder="1" applyAlignment="1" applyProtection="1">
      <alignment horizontal="center" vertical="center" wrapText="1"/>
    </xf>
    <xf numFmtId="42" fontId="3" fillId="3" borderId="9" xfId="5" applyNumberFormat="1" applyFont="1" applyFill="1" applyBorder="1" applyAlignment="1" applyProtection="1">
      <alignment horizontal="center" vertical="center"/>
      <protection locked="0"/>
    </xf>
    <xf numFmtId="42" fontId="3" fillId="3" borderId="10" xfId="5" applyNumberFormat="1" applyFont="1" applyFill="1" applyBorder="1" applyAlignment="1" applyProtection="1">
      <alignment horizontal="center" vertical="center"/>
      <protection locked="0"/>
    </xf>
    <xf numFmtId="42" fontId="3" fillId="6" borderId="9" xfId="5" applyNumberFormat="1" applyFont="1" applyFill="1" applyBorder="1" applyAlignment="1" applyProtection="1">
      <alignment horizontal="center" vertical="center"/>
      <protection locked="0"/>
    </xf>
    <xf numFmtId="42" fontId="3" fillId="6" borderId="10" xfId="5" applyNumberFormat="1" applyFont="1" applyFill="1" applyBorder="1" applyAlignment="1" applyProtection="1">
      <alignment horizontal="center" vertical="center"/>
      <protection locked="0"/>
    </xf>
    <xf numFmtId="42" fontId="3" fillId="2" borderId="97" xfId="2" applyNumberFormat="1" applyFont="1" applyFill="1" applyBorder="1" applyAlignment="1" applyProtection="1">
      <alignment horizontal="center" vertical="center"/>
      <protection locked="0"/>
    </xf>
    <xf numFmtId="42" fontId="16" fillId="2" borderId="39" xfId="2" applyNumberFormat="1" applyFont="1" applyFill="1" applyBorder="1" applyAlignment="1" applyProtection="1">
      <alignment vertical="center"/>
      <protection locked="0"/>
    </xf>
    <xf numFmtId="42" fontId="3" fillId="6" borderId="41" xfId="2" applyNumberFormat="1" applyFont="1" applyFill="1" applyBorder="1" applyAlignment="1" applyProtection="1">
      <alignment horizontal="center" vertical="center"/>
      <protection locked="0"/>
    </xf>
    <xf numFmtId="42" fontId="16" fillId="6" borderId="40" xfId="2" applyNumberFormat="1" applyFont="1" applyFill="1" applyBorder="1" applyAlignment="1" applyProtection="1">
      <alignment vertical="center"/>
      <protection locked="0"/>
    </xf>
    <xf numFmtId="42" fontId="4" fillId="3" borderId="13" xfId="5" applyNumberFormat="1" applyFont="1" applyFill="1" applyBorder="1" applyAlignment="1" applyProtection="1">
      <alignment horizontal="center" vertical="center"/>
    </xf>
    <xf numFmtId="42" fontId="4" fillId="3" borderId="5" xfId="5" applyNumberFormat="1" applyFont="1" applyFill="1" applyBorder="1" applyAlignment="1" applyProtection="1">
      <alignment horizontal="center" vertical="center"/>
    </xf>
    <xf numFmtId="42" fontId="3" fillId="3" borderId="11" xfId="5" applyNumberFormat="1" applyFont="1" applyFill="1" applyBorder="1" applyAlignment="1" applyProtection="1">
      <alignment horizontal="center" vertical="center"/>
    </xf>
    <xf numFmtId="42" fontId="4" fillId="3" borderId="11" xfId="5" applyNumberFormat="1" applyFont="1" applyFill="1" applyBorder="1" applyAlignment="1" applyProtection="1">
      <alignment horizontal="center" vertical="center"/>
    </xf>
    <xf numFmtId="42" fontId="1" fillId="0" borderId="0" xfId="0" applyNumberFormat="1" applyFont="1"/>
    <xf numFmtId="42" fontId="4" fillId="3" borderId="34" xfId="5" applyNumberFormat="1" applyFont="1" applyFill="1" applyBorder="1" applyAlignment="1" applyProtection="1">
      <alignment horizontal="center" vertical="center"/>
    </xf>
    <xf numFmtId="44" fontId="4" fillId="3" borderId="20" xfId="5" applyFont="1" applyFill="1" applyBorder="1" applyAlignment="1" applyProtection="1">
      <alignment vertical="center"/>
      <protection locked="0"/>
    </xf>
    <xf numFmtId="42" fontId="16" fillId="2" borderId="23" xfId="4" applyNumberFormat="1" applyFont="1" applyFill="1" applyBorder="1" applyAlignment="1" applyProtection="1">
      <alignment horizontal="center" vertical="center" wrapText="1"/>
      <protection locked="0"/>
    </xf>
    <xf numFmtId="44" fontId="6" fillId="3" borderId="13" xfId="5" applyFont="1" applyFill="1" applyBorder="1" applyAlignment="1" applyProtection="1">
      <alignment horizontal="center" vertical="center" wrapText="1"/>
    </xf>
    <xf numFmtId="175" fontId="4" fillId="3" borderId="2" xfId="5" applyNumberFormat="1" applyFont="1" applyFill="1" applyBorder="1" applyAlignment="1" applyProtection="1">
      <alignment horizontal="center" vertical="center"/>
    </xf>
    <xf numFmtId="175" fontId="4" fillId="3" borderId="5" xfId="5" applyNumberFormat="1" applyFont="1" applyFill="1" applyBorder="1" applyAlignment="1" applyProtection="1">
      <alignment horizontal="center" vertical="center"/>
    </xf>
    <xf numFmtId="175" fontId="6" fillId="3" borderId="13" xfId="5" applyNumberFormat="1" applyFont="1" applyFill="1" applyBorder="1" applyAlignment="1" applyProtection="1">
      <alignment horizontal="center" vertical="center" wrapText="1"/>
    </xf>
    <xf numFmtId="175" fontId="4" fillId="3" borderId="11" xfId="5" applyNumberFormat="1" applyFont="1" applyFill="1" applyBorder="1" applyAlignment="1" applyProtection="1">
      <alignment horizontal="center" vertical="center"/>
    </xf>
    <xf numFmtId="175" fontId="3" fillId="0" borderId="20" xfId="5" applyNumberFormat="1" applyFont="1" applyBorder="1" applyAlignment="1" applyProtection="1">
      <alignment vertical="center"/>
      <protection locked="0"/>
    </xf>
    <xf numFmtId="175" fontId="3" fillId="7" borderId="15" xfId="5" applyNumberFormat="1" applyFont="1" applyFill="1" applyBorder="1" applyAlignment="1" applyProtection="1">
      <alignment horizontal="center" vertical="center"/>
    </xf>
    <xf numFmtId="175" fontId="3" fillId="2" borderId="20" xfId="5" applyNumberFormat="1" applyFont="1" applyFill="1" applyBorder="1" applyAlignment="1" applyProtection="1">
      <alignment vertical="center"/>
      <protection locked="0"/>
    </xf>
    <xf numFmtId="175" fontId="3" fillId="2" borderId="13" xfId="5" applyNumberFormat="1" applyFont="1" applyFill="1" applyBorder="1" applyAlignment="1" applyProtection="1">
      <alignment vertical="center"/>
      <protection locked="0"/>
    </xf>
    <xf numFmtId="175" fontId="16" fillId="0" borderId="20" xfId="5" applyNumberFormat="1" applyFont="1" applyBorder="1" applyAlignment="1" applyProtection="1">
      <alignment vertical="center"/>
      <protection locked="0"/>
    </xf>
    <xf numFmtId="175" fontId="4" fillId="3" borderId="20" xfId="5" applyNumberFormat="1" applyFont="1" applyFill="1" applyBorder="1" applyAlignment="1" applyProtection="1">
      <alignment vertical="center"/>
      <protection locked="0"/>
    </xf>
    <xf numFmtId="175" fontId="3" fillId="3" borderId="20" xfId="5" applyNumberFormat="1" applyFont="1" applyFill="1" applyBorder="1" applyAlignment="1" applyProtection="1">
      <alignment vertical="center"/>
      <protection locked="0"/>
    </xf>
    <xf numFmtId="175" fontId="4" fillId="3" borderId="15" xfId="5" applyNumberFormat="1" applyFont="1" applyFill="1" applyBorder="1" applyAlignment="1" applyProtection="1">
      <alignment horizontal="center" vertical="center"/>
    </xf>
    <xf numFmtId="175" fontId="3" fillId="3" borderId="15" xfId="5" applyNumberFormat="1" applyFont="1" applyFill="1" applyBorder="1" applyAlignment="1" applyProtection="1">
      <alignment horizontal="center" vertical="center"/>
    </xf>
    <xf numFmtId="175" fontId="16" fillId="3" borderId="20" xfId="5" applyNumberFormat="1" applyFont="1" applyFill="1" applyBorder="1" applyAlignment="1" applyProtection="1">
      <alignment horizontal="center" vertical="center" wrapText="1"/>
    </xf>
    <xf numFmtId="175" fontId="16" fillId="2" borderId="23" xfId="4" applyNumberFormat="1" applyFont="1" applyFill="1" applyBorder="1" applyAlignment="1" applyProtection="1">
      <alignment horizontal="center" vertical="center" wrapText="1"/>
      <protection locked="0"/>
    </xf>
    <xf numFmtId="175" fontId="3" fillId="7" borderId="31" xfId="5" applyNumberFormat="1" applyFont="1" applyFill="1" applyBorder="1" applyAlignment="1" applyProtection="1">
      <alignment vertical="center"/>
    </xf>
    <xf numFmtId="175" fontId="3" fillId="3" borderId="11" xfId="5" applyNumberFormat="1" applyFont="1" applyFill="1" applyBorder="1" applyAlignment="1" applyProtection="1">
      <alignment horizontal="center" vertical="center"/>
    </xf>
    <xf numFmtId="42" fontId="4" fillId="3" borderId="20" xfId="5" applyNumberFormat="1" applyFont="1" applyFill="1" applyBorder="1" applyAlignment="1" applyProtection="1">
      <alignment vertical="center"/>
      <protection locked="0"/>
    </xf>
    <xf numFmtId="175" fontId="16" fillId="2" borderId="13" xfId="5" applyNumberFormat="1" applyFont="1" applyFill="1" applyBorder="1" applyAlignment="1" applyProtection="1">
      <alignment horizontal="center" vertical="center" wrapText="1"/>
    </xf>
    <xf numFmtId="42" fontId="16" fillId="2" borderId="41" xfId="2" applyNumberFormat="1" applyFont="1" applyFill="1" applyBorder="1" applyAlignment="1">
      <alignment horizontal="center" vertical="center" wrapText="1"/>
    </xf>
    <xf numFmtId="42" fontId="16" fillId="2" borderId="23" xfId="2" applyNumberFormat="1" applyFont="1" applyFill="1" applyBorder="1" applyAlignment="1">
      <alignment horizontal="center" vertical="center" wrapText="1"/>
    </xf>
    <xf numFmtId="0" fontId="6" fillId="2" borderId="0" xfId="2" applyFont="1" applyFill="1" applyBorder="1" applyAlignment="1">
      <alignment horizontal="center" vertical="center" wrapText="1"/>
    </xf>
    <xf numFmtId="0" fontId="6" fillId="19" borderId="89" xfId="2" applyFont="1" applyFill="1" applyBorder="1" applyAlignment="1">
      <alignment horizontal="center" vertical="center" wrapText="1"/>
    </xf>
    <xf numFmtId="0" fontId="6" fillId="19" borderId="2" xfId="2" applyFont="1" applyFill="1" applyBorder="1" applyAlignment="1">
      <alignment horizontal="center" vertical="center" wrapText="1"/>
    </xf>
    <xf numFmtId="0" fontId="6" fillId="19" borderId="54" xfId="2" applyFont="1" applyFill="1" applyBorder="1" applyAlignment="1">
      <alignment horizontal="center" vertical="center" wrapText="1"/>
    </xf>
    <xf numFmtId="0" fontId="16" fillId="2" borderId="24" xfId="2" applyFont="1" applyFill="1" applyBorder="1" applyAlignment="1">
      <alignment horizontal="left" vertical="center" wrapText="1" indent="1"/>
    </xf>
    <xf numFmtId="0" fontId="16" fillId="2" borderId="15" xfId="2" applyFont="1" applyFill="1" applyBorder="1" applyAlignment="1">
      <alignment horizontal="left" vertical="center" wrapText="1" indent="1"/>
    </xf>
    <xf numFmtId="0" fontId="16" fillId="2" borderId="21" xfId="2" applyFont="1" applyFill="1" applyBorder="1" applyAlignment="1">
      <alignment horizontal="left" vertical="center" wrapText="1" indent="1"/>
    </xf>
    <xf numFmtId="0" fontId="16" fillId="2" borderId="43" xfId="2" applyFont="1" applyFill="1" applyBorder="1" applyAlignment="1">
      <alignment horizontal="left" vertical="center" wrapText="1" indent="1"/>
    </xf>
    <xf numFmtId="0" fontId="16" fillId="2" borderId="98" xfId="2" applyFont="1" applyFill="1" applyBorder="1" applyAlignment="1">
      <alignment horizontal="left" vertical="center" wrapText="1" indent="1"/>
    </xf>
    <xf numFmtId="0" fontId="16" fillId="2" borderId="97" xfId="2" applyFont="1" applyFill="1" applyBorder="1" applyAlignment="1">
      <alignment horizontal="left" vertical="center" wrapText="1" indent="1"/>
    </xf>
    <xf numFmtId="0" fontId="16" fillId="2" borderId="11" xfId="2" applyFont="1" applyFill="1" applyBorder="1" applyAlignment="1">
      <alignment horizontal="left" vertical="center" wrapText="1" indent="1"/>
    </xf>
    <xf numFmtId="0" fontId="16" fillId="2" borderId="6" xfId="2" applyFont="1" applyFill="1" applyBorder="1" applyAlignment="1">
      <alignment horizontal="left" vertical="center" wrapText="1" indent="1"/>
    </xf>
    <xf numFmtId="0" fontId="6" fillId="19" borderId="50" xfId="2" applyFont="1" applyFill="1" applyBorder="1" applyAlignment="1">
      <alignment horizontal="left" vertical="center" indent="1"/>
    </xf>
    <xf numFmtId="42" fontId="16" fillId="19" borderId="7" xfId="2" applyNumberFormat="1" applyFont="1" applyFill="1" applyBorder="1" applyAlignment="1">
      <alignment horizontal="center" vertical="center"/>
    </xf>
    <xf numFmtId="0" fontId="16" fillId="2" borderId="31" xfId="2" applyFont="1" applyFill="1" applyBorder="1" applyAlignment="1">
      <alignment horizontal="left" vertical="center" wrapText="1" indent="1"/>
    </xf>
    <xf numFmtId="175" fontId="3" fillId="0" borderId="43" xfId="5" applyNumberFormat="1" applyFont="1" applyBorder="1" applyAlignment="1" applyProtection="1">
      <alignment vertical="center"/>
      <protection locked="0"/>
    </xf>
    <xf numFmtId="175" fontId="16" fillId="2" borderId="38" xfId="5" applyNumberFormat="1" applyFont="1" applyFill="1" applyBorder="1" applyAlignment="1" applyProtection="1">
      <alignment horizontal="center" vertical="center" wrapText="1"/>
    </xf>
    <xf numFmtId="42" fontId="16" fillId="2" borderId="40" xfId="2" applyNumberFormat="1" applyFont="1" applyFill="1" applyBorder="1" applyAlignment="1">
      <alignment horizontal="center" vertical="center" wrapText="1"/>
    </xf>
    <xf numFmtId="0" fontId="16" fillId="2" borderId="0" xfId="2" applyFont="1" applyFill="1" applyBorder="1" applyAlignment="1">
      <alignment horizontal="left" vertical="center" wrapText="1" indent="1"/>
    </xf>
    <xf numFmtId="174" fontId="3" fillId="2" borderId="0" xfId="75" applyNumberFormat="1" applyFont="1" applyFill="1" applyBorder="1" applyAlignment="1">
      <alignment horizontal="center" vertical="center"/>
    </xf>
    <xf numFmtId="42" fontId="3" fillId="2" borderId="0" xfId="75" applyNumberFormat="1" applyFont="1" applyFill="1" applyBorder="1" applyAlignment="1">
      <alignment horizontal="center" vertical="center"/>
    </xf>
    <xf numFmtId="174" fontId="16" fillId="0" borderId="0" xfId="75" applyNumberFormat="1" applyFont="1" applyFill="1" applyBorder="1" applyAlignment="1">
      <alignment horizontal="center" vertical="center"/>
    </xf>
    <xf numFmtId="0" fontId="16" fillId="2" borderId="0" xfId="2" applyFont="1" applyFill="1" applyBorder="1" applyAlignment="1">
      <alignment horizontal="center" vertical="center" wrapText="1"/>
    </xf>
    <xf numFmtId="42" fontId="16" fillId="0" borderId="55" xfId="75" applyNumberFormat="1" applyFont="1" applyFill="1" applyBorder="1" applyAlignment="1">
      <alignment horizontal="center" vertical="center"/>
    </xf>
    <xf numFmtId="42" fontId="16" fillId="0" borderId="57" xfId="75" applyNumberFormat="1" applyFont="1" applyFill="1" applyBorder="1" applyAlignment="1">
      <alignment horizontal="center" vertical="center"/>
    </xf>
    <xf numFmtId="42" fontId="16" fillId="0" borderId="68" xfId="75" applyNumberFormat="1" applyFont="1" applyFill="1" applyBorder="1" applyAlignment="1">
      <alignment horizontal="center" vertical="center"/>
    </xf>
    <xf numFmtId="0" fontId="6" fillId="19" borderId="50" xfId="2" applyFont="1" applyFill="1" applyBorder="1" applyAlignment="1">
      <alignment vertical="center" wrapText="1"/>
    </xf>
    <xf numFmtId="0" fontId="6" fillId="19" borderId="51" xfId="2" applyFont="1" applyFill="1" applyBorder="1" applyAlignment="1">
      <alignment vertical="center" wrapText="1"/>
    </xf>
    <xf numFmtId="0" fontId="6" fillId="19" borderId="73" xfId="2" applyFont="1" applyFill="1" applyBorder="1" applyAlignment="1">
      <alignment vertical="center" wrapText="1"/>
    </xf>
    <xf numFmtId="0" fontId="6" fillId="19" borderId="68" xfId="2" applyFont="1" applyFill="1" applyBorder="1" applyAlignment="1">
      <alignment horizontal="left" vertical="center" indent="1"/>
    </xf>
    <xf numFmtId="42" fontId="3" fillId="0" borderId="75" xfId="75" applyNumberFormat="1" applyFont="1" applyFill="1" applyBorder="1" applyAlignment="1">
      <alignment horizontal="center" vertical="center"/>
    </xf>
    <xf numFmtId="42" fontId="3" fillId="0" borderId="78" xfId="75" applyNumberFormat="1" applyFont="1" applyFill="1" applyBorder="1" applyAlignment="1">
      <alignment horizontal="center" vertical="center"/>
    </xf>
    <xf numFmtId="42" fontId="3" fillId="0" borderId="81" xfId="75" applyNumberFormat="1" applyFont="1" applyFill="1" applyBorder="1" applyAlignment="1">
      <alignment horizontal="center" vertical="center"/>
    </xf>
    <xf numFmtId="42" fontId="3" fillId="0" borderId="0" xfId="75" applyNumberFormat="1" applyFont="1" applyFill="1" applyBorder="1" applyAlignment="1">
      <alignment horizontal="center" vertical="center"/>
    </xf>
    <xf numFmtId="174" fontId="3" fillId="0" borderId="0" xfId="75" applyNumberFormat="1" applyFont="1" applyFill="1" applyBorder="1" applyAlignment="1">
      <alignment horizontal="center" vertical="center"/>
    </xf>
    <xf numFmtId="0" fontId="16" fillId="2" borderId="0" xfId="2" applyFont="1" applyFill="1" applyBorder="1" applyAlignment="1">
      <alignment horizontal="left" vertical="center" indent="1"/>
    </xf>
    <xf numFmtId="42" fontId="3" fillId="0" borderId="76" xfId="75" applyNumberFormat="1" applyFont="1" applyFill="1" applyBorder="1" applyAlignment="1">
      <alignment horizontal="center" vertical="center"/>
    </xf>
    <xf numFmtId="42" fontId="3" fillId="0" borderId="79" xfId="75" applyNumberFormat="1" applyFont="1" applyFill="1" applyBorder="1" applyAlignment="1">
      <alignment horizontal="center" vertical="center"/>
    </xf>
    <xf numFmtId="42" fontId="3" fillId="0" borderId="82" xfId="75" applyNumberFormat="1" applyFont="1" applyFill="1" applyBorder="1" applyAlignment="1">
      <alignment horizontal="center" vertical="center"/>
    </xf>
    <xf numFmtId="42" fontId="3" fillId="0" borderId="84" xfId="75" applyNumberFormat="1" applyFont="1" applyFill="1" applyBorder="1" applyAlignment="1">
      <alignment horizontal="center" vertical="center"/>
    </xf>
    <xf numFmtId="42" fontId="3" fillId="0" borderId="102" xfId="75" applyNumberFormat="1" applyFont="1" applyFill="1" applyBorder="1" applyAlignment="1">
      <alignment horizontal="center" vertical="center"/>
    </xf>
    <xf numFmtId="42" fontId="3" fillId="0" borderId="85" xfId="75" applyNumberFormat="1" applyFont="1" applyFill="1" applyBorder="1" applyAlignment="1">
      <alignment horizontal="center" vertical="center"/>
    </xf>
    <xf numFmtId="42" fontId="3" fillId="0" borderId="77" xfId="75" applyNumberFormat="1" applyFont="1" applyFill="1" applyBorder="1" applyAlignment="1">
      <alignment horizontal="center" vertical="center"/>
    </xf>
    <xf numFmtId="42" fontId="3" fillId="0" borderId="80" xfId="75" applyNumberFormat="1" applyFont="1" applyFill="1" applyBorder="1" applyAlignment="1">
      <alignment horizontal="center" vertical="center"/>
    </xf>
    <xf numFmtId="42" fontId="3" fillId="0" borderId="83" xfId="75" applyNumberFormat="1" applyFont="1" applyFill="1" applyBorder="1" applyAlignment="1">
      <alignment horizontal="center" vertical="center"/>
    </xf>
    <xf numFmtId="42" fontId="16" fillId="0" borderId="5" xfId="2" applyNumberFormat="1" applyFont="1" applyFill="1" applyBorder="1" applyAlignment="1">
      <alignment horizontal="center" vertical="center" wrapText="1"/>
    </xf>
    <xf numFmtId="42" fontId="16" fillId="0" borderId="73" xfId="2" applyNumberFormat="1" applyFont="1" applyFill="1" applyBorder="1" applyAlignment="1">
      <alignment horizontal="center" vertical="center" wrapText="1"/>
    </xf>
    <xf numFmtId="0" fontId="4" fillId="3" borderId="5" xfId="2" applyFont="1" applyFill="1" applyBorder="1" applyAlignment="1" applyProtection="1">
      <alignment horizontal="left" vertical="center" indent="1"/>
      <protection locked="0"/>
    </xf>
    <xf numFmtId="0" fontId="16" fillId="2" borderId="26" xfId="2" applyFont="1" applyFill="1" applyBorder="1" applyAlignment="1">
      <alignment horizontal="left" vertical="center" wrapText="1" indent="1"/>
    </xf>
    <xf numFmtId="0" fontId="6" fillId="5" borderId="50" xfId="3" applyFont="1" applyFill="1" applyBorder="1" applyAlignment="1" applyProtection="1">
      <alignment horizontal="center" vertical="center"/>
      <protection locked="0"/>
    </xf>
    <xf numFmtId="0" fontId="9" fillId="5" borderId="48" xfId="6" applyFont="1" applyFill="1" applyBorder="1" applyAlignment="1" applyProtection="1">
      <alignment horizontal="center" vertical="center"/>
      <protection locked="0"/>
    </xf>
    <xf numFmtId="0" fontId="11" fillId="5" borderId="71" xfId="6" applyFont="1" applyFill="1" applyBorder="1" applyAlignment="1" applyProtection="1">
      <alignment horizontal="center" vertical="center"/>
      <protection locked="0"/>
    </xf>
    <xf numFmtId="0" fontId="9" fillId="5" borderId="71" xfId="6" applyFont="1" applyFill="1" applyBorder="1" applyAlignment="1" applyProtection="1">
      <alignment horizontal="center" vertical="center"/>
      <protection locked="0"/>
    </xf>
    <xf numFmtId="0" fontId="11" fillId="5" borderId="49" xfId="6" applyFont="1" applyFill="1" applyBorder="1" applyAlignment="1" applyProtection="1">
      <alignment horizontal="center" vertical="center"/>
      <protection locked="0"/>
    </xf>
    <xf numFmtId="0" fontId="4" fillId="3" borderId="32" xfId="2" applyFont="1" applyFill="1" applyBorder="1" applyAlignment="1" applyProtection="1">
      <alignment horizontal="center" vertical="center"/>
      <protection locked="0"/>
    </xf>
    <xf numFmtId="44" fontId="6" fillId="3" borderId="18" xfId="5" applyNumberFormat="1" applyFont="1" applyFill="1" applyBorder="1" applyAlignment="1" applyProtection="1">
      <alignment horizontal="center" vertical="center" wrapText="1"/>
    </xf>
    <xf numFmtId="0" fontId="10" fillId="6" borderId="11" xfId="4" applyFont="1" applyFill="1" applyBorder="1" applyAlignment="1" applyProtection="1">
      <alignment horizontal="left" vertical="center" wrapText="1" indent="2"/>
      <protection locked="0"/>
    </xf>
    <xf numFmtId="0" fontId="10" fillId="2" borderId="21" xfId="4" applyFont="1" applyFill="1" applyBorder="1" applyAlignment="1" applyProtection="1">
      <alignment horizontal="left" vertical="center" wrapText="1" indent="2"/>
      <protection locked="0"/>
    </xf>
    <xf numFmtId="44" fontId="4" fillId="3" borderId="51" xfId="5" applyFont="1" applyFill="1" applyBorder="1" applyAlignment="1" applyProtection="1">
      <alignment horizontal="center" vertical="center"/>
    </xf>
    <xf numFmtId="44" fontId="3" fillId="7" borderId="46" xfId="5" applyFont="1" applyFill="1" applyBorder="1" applyAlignment="1" applyProtection="1">
      <alignment horizontal="center" vertical="center"/>
    </xf>
    <xf numFmtId="44" fontId="3" fillId="7" borderId="66" xfId="5" applyFont="1" applyFill="1" applyBorder="1" applyAlignment="1" applyProtection="1">
      <alignment horizontal="center" vertical="center"/>
    </xf>
    <xf numFmtId="44" fontId="4" fillId="3" borderId="14" xfId="5" applyFont="1" applyFill="1" applyBorder="1" applyAlignment="1" applyProtection="1">
      <alignment horizontal="center" vertical="center"/>
    </xf>
    <xf numFmtId="44" fontId="3" fillId="7" borderId="14" xfId="5" applyFont="1" applyFill="1" applyBorder="1" applyAlignment="1" applyProtection="1">
      <alignment horizontal="center" vertical="center"/>
    </xf>
    <xf numFmtId="44" fontId="3" fillId="7" borderId="47" xfId="5" applyFont="1" applyFill="1" applyBorder="1" applyAlignment="1" applyProtection="1">
      <alignment horizontal="center" vertical="center"/>
    </xf>
    <xf numFmtId="44" fontId="6" fillId="3" borderId="74" xfId="5" applyNumberFormat="1" applyFont="1" applyFill="1" applyBorder="1" applyAlignment="1" applyProtection="1">
      <alignment horizontal="center" vertical="center" wrapText="1"/>
    </xf>
    <xf numFmtId="44" fontId="6" fillId="3" borderId="53" xfId="5" applyNumberFormat="1" applyFont="1" applyFill="1" applyBorder="1" applyAlignment="1" applyProtection="1">
      <alignment horizontal="center" vertical="center" wrapText="1"/>
    </xf>
    <xf numFmtId="44" fontId="6" fillId="3" borderId="9" xfId="5" applyNumberFormat="1" applyFont="1" applyFill="1" applyBorder="1" applyAlignment="1" applyProtection="1">
      <alignment horizontal="center" vertical="center" wrapText="1"/>
    </xf>
    <xf numFmtId="44" fontId="3" fillId="2" borderId="9" xfId="5" applyNumberFormat="1" applyFont="1" applyFill="1" applyBorder="1" applyAlignment="1" applyProtection="1">
      <alignment horizontal="center" vertical="center"/>
      <protection locked="0"/>
    </xf>
    <xf numFmtId="44" fontId="3" fillId="2" borderId="9" xfId="5" applyFont="1" applyFill="1" applyBorder="1" applyAlignment="1" applyProtection="1">
      <alignment horizontal="center" vertical="center"/>
      <protection locked="0"/>
    </xf>
    <xf numFmtId="44" fontId="3" fillId="6" borderId="10" xfId="5" applyFont="1" applyFill="1" applyBorder="1" applyAlignment="1" applyProtection="1">
      <alignment horizontal="center" vertical="center"/>
      <protection locked="0"/>
    </xf>
    <xf numFmtId="44" fontId="3" fillId="6" borderId="41" xfId="2" applyNumberFormat="1" applyFont="1" applyFill="1" applyBorder="1" applyAlignment="1" applyProtection="1">
      <alignment horizontal="center" vertical="center"/>
      <protection locked="0"/>
    </xf>
    <xf numFmtId="0" fontId="16" fillId="6" borderId="40" xfId="2" applyFont="1" applyFill="1" applyBorder="1" applyAlignment="1" applyProtection="1">
      <alignment vertical="center"/>
      <protection locked="0"/>
    </xf>
    <xf numFmtId="42" fontId="3" fillId="6" borderId="71" xfId="5" applyNumberFormat="1" applyFont="1" applyFill="1" applyBorder="1" applyAlignment="1" applyProtection="1">
      <alignment horizontal="center" vertical="center"/>
      <protection locked="0"/>
    </xf>
    <xf numFmtId="42" fontId="3" fillId="6" borderId="18" xfId="5" applyNumberFormat="1" applyFont="1" applyFill="1" applyBorder="1" applyAlignment="1" applyProtection="1">
      <alignment horizontal="center" vertical="center"/>
      <protection locked="0"/>
    </xf>
    <xf numFmtId="44" fontId="6" fillId="3" borderId="71" xfId="5" applyNumberFormat="1" applyFont="1" applyFill="1" applyBorder="1" applyAlignment="1" applyProtection="1">
      <alignment horizontal="center" vertical="center" wrapText="1"/>
    </xf>
    <xf numFmtId="44" fontId="16" fillId="2" borderId="36" xfId="5" applyNumberFormat="1" applyFont="1" applyFill="1" applyBorder="1" applyAlignment="1" applyProtection="1">
      <alignment horizontal="center" vertical="center" wrapText="1"/>
    </xf>
    <xf numFmtId="44" fontId="16" fillId="2" borderId="42" xfId="5" applyNumberFormat="1" applyFont="1" applyFill="1" applyBorder="1" applyAlignment="1" applyProtection="1">
      <alignment horizontal="center" vertical="center" wrapText="1"/>
    </xf>
    <xf numFmtId="44" fontId="16" fillId="2" borderId="25" xfId="5" applyNumberFormat="1" applyFont="1" applyFill="1" applyBorder="1" applyAlignment="1" applyProtection="1">
      <alignment horizontal="center" vertical="center" wrapText="1"/>
    </xf>
    <xf numFmtId="44" fontId="16" fillId="2" borderId="43" xfId="5" applyNumberFormat="1" applyFont="1" applyFill="1" applyBorder="1" applyAlignment="1" applyProtection="1">
      <alignment horizontal="center" vertical="center" wrapText="1"/>
    </xf>
    <xf numFmtId="44" fontId="16" fillId="2" borderId="13" xfId="5" applyNumberFormat="1" applyFont="1" applyFill="1" applyBorder="1" applyAlignment="1" applyProtection="1">
      <alignment horizontal="center" vertical="center" wrapText="1"/>
    </xf>
    <xf numFmtId="44" fontId="16" fillId="2" borderId="38" xfId="5" applyNumberFormat="1" applyFont="1" applyFill="1" applyBorder="1" applyAlignment="1" applyProtection="1">
      <alignment horizontal="center" vertical="center" wrapText="1"/>
    </xf>
    <xf numFmtId="42" fontId="4" fillId="3" borderId="30" xfId="5" applyNumberFormat="1" applyFont="1" applyFill="1" applyBorder="1" applyAlignment="1" applyProtection="1">
      <alignment horizontal="center" vertical="center"/>
    </xf>
    <xf numFmtId="42" fontId="4" fillId="3" borderId="69" xfId="5" applyNumberFormat="1" applyFont="1" applyFill="1" applyBorder="1" applyAlignment="1" applyProtection="1">
      <alignment horizontal="center" vertical="center"/>
    </xf>
    <xf numFmtId="42" fontId="3" fillId="2" borderId="18" xfId="5" applyNumberFormat="1" applyFont="1" applyFill="1" applyBorder="1" applyAlignment="1" applyProtection="1">
      <alignment horizontal="center" vertical="center"/>
    </xf>
    <xf numFmtId="42" fontId="3" fillId="3" borderId="18" xfId="5" applyNumberFormat="1" applyFont="1" applyFill="1" applyBorder="1" applyAlignment="1" applyProtection="1">
      <alignment horizontal="center" vertical="center"/>
    </xf>
    <xf numFmtId="42" fontId="4" fillId="3" borderId="18" xfId="5" applyNumberFormat="1" applyFont="1" applyFill="1" applyBorder="1" applyAlignment="1" applyProtection="1">
      <alignment horizontal="center" vertical="center"/>
    </xf>
    <xf numFmtId="42" fontId="3" fillId="2" borderId="34" xfId="2" applyNumberFormat="1" applyFont="1" applyFill="1" applyBorder="1" applyAlignment="1" applyProtection="1">
      <alignment horizontal="center" vertical="center"/>
    </xf>
    <xf numFmtId="42" fontId="3" fillId="2" borderId="18" xfId="2" applyNumberFormat="1" applyFont="1" applyFill="1" applyBorder="1" applyAlignment="1" applyProtection="1">
      <alignment horizontal="center" vertical="center"/>
    </xf>
    <xf numFmtId="42" fontId="3" fillId="0" borderId="18" xfId="5" applyNumberFormat="1" applyFont="1" applyBorder="1" applyAlignment="1" applyProtection="1">
      <alignment vertical="center"/>
      <protection locked="0"/>
    </xf>
    <xf numFmtId="42" fontId="16" fillId="2" borderId="18" xfId="5" applyNumberFormat="1" applyFont="1" applyFill="1" applyBorder="1" applyAlignment="1" applyProtection="1">
      <alignment horizontal="center" vertical="center"/>
    </xf>
    <xf numFmtId="42" fontId="16" fillId="0" borderId="18" xfId="5" applyNumberFormat="1" applyFont="1" applyBorder="1" applyAlignment="1" applyProtection="1">
      <alignment vertical="center"/>
      <protection locked="0"/>
    </xf>
    <xf numFmtId="42" fontId="16" fillId="0" borderId="27" xfId="5" applyNumberFormat="1" applyFont="1" applyBorder="1" applyAlignment="1" applyProtection="1">
      <alignment vertical="center"/>
      <protection locked="0"/>
    </xf>
    <xf numFmtId="42" fontId="3" fillId="2" borderId="34" xfId="5" applyNumberFormat="1" applyFont="1" applyFill="1" applyBorder="1" applyAlignment="1" applyProtection="1">
      <alignment vertical="center"/>
      <protection locked="0"/>
    </xf>
    <xf numFmtId="42" fontId="3" fillId="0" borderId="34" xfId="5" applyNumberFormat="1" applyFont="1" applyBorder="1" applyAlignment="1" applyProtection="1">
      <alignment vertical="center"/>
      <protection locked="0"/>
    </xf>
    <xf numFmtId="42" fontId="4" fillId="3" borderId="18" xfId="5" applyNumberFormat="1" applyFont="1" applyFill="1" applyBorder="1" applyAlignment="1" applyProtection="1">
      <alignment vertical="center"/>
      <protection locked="0"/>
    </xf>
    <xf numFmtId="42" fontId="3" fillId="0" borderId="18" xfId="5" applyNumberFormat="1" applyFont="1" applyFill="1" applyBorder="1" applyAlignment="1" applyProtection="1">
      <alignment horizontal="center" vertical="center"/>
      <protection locked="0"/>
    </xf>
    <xf numFmtId="42" fontId="3" fillId="0" borderId="22" xfId="5" applyNumberFormat="1" applyFont="1" applyBorder="1" applyAlignment="1" applyProtection="1">
      <alignment vertical="center"/>
      <protection locked="0"/>
    </xf>
    <xf numFmtId="0" fontId="6" fillId="3" borderId="5" xfId="4" applyFont="1" applyFill="1" applyBorder="1" applyAlignment="1" applyProtection="1">
      <alignment horizontal="left" vertical="center" wrapText="1" indent="1"/>
    </xf>
    <xf numFmtId="0" fontId="13" fillId="3" borderId="15" xfId="4" applyFont="1" applyFill="1" applyBorder="1" applyAlignment="1" applyProtection="1">
      <alignment horizontal="left" vertical="center" wrapText="1" indent="3"/>
      <protection locked="0"/>
    </xf>
    <xf numFmtId="0" fontId="3" fillId="2" borderId="15" xfId="4" applyFont="1" applyFill="1" applyBorder="1" applyAlignment="1" applyProtection="1">
      <alignment horizontal="left" vertical="center" wrapText="1" indent="4"/>
    </xf>
    <xf numFmtId="0" fontId="14" fillId="3" borderId="11" xfId="4" applyFont="1" applyFill="1" applyBorder="1" applyAlignment="1" applyProtection="1">
      <alignment horizontal="left" vertical="center" wrapText="1" indent="2"/>
    </xf>
    <xf numFmtId="0" fontId="15" fillId="2" borderId="15" xfId="4" applyFont="1" applyFill="1" applyBorder="1" applyAlignment="1" applyProtection="1">
      <alignment horizontal="left" vertical="center" wrapText="1" indent="3"/>
    </xf>
    <xf numFmtId="0" fontId="10" fillId="3" borderId="11" xfId="4" applyFont="1" applyFill="1" applyBorder="1" applyAlignment="1" applyProtection="1">
      <alignment horizontal="left" vertical="center" wrapText="1" indent="2"/>
    </xf>
    <xf numFmtId="0" fontId="15" fillId="2" borderId="11" xfId="4" applyFont="1" applyFill="1" applyBorder="1" applyAlignment="1" applyProtection="1">
      <alignment horizontal="left" vertical="center" wrapText="1" indent="3"/>
    </xf>
    <xf numFmtId="0" fontId="15" fillId="3" borderId="11" xfId="4" applyFont="1" applyFill="1" applyBorder="1" applyAlignment="1" applyProtection="1">
      <alignment horizontal="left" vertical="center" wrapText="1" indent="3"/>
    </xf>
    <xf numFmtId="0" fontId="16" fillId="2" borderId="15" xfId="4" applyFont="1" applyFill="1" applyBorder="1" applyAlignment="1" applyProtection="1">
      <alignment horizontal="left" vertical="center" wrapText="1" indent="4"/>
    </xf>
    <xf numFmtId="0" fontId="12" fillId="3" borderId="11" xfId="4" applyFont="1" applyFill="1" applyBorder="1" applyAlignment="1" applyProtection="1">
      <alignment horizontal="left" vertical="center" wrapText="1" indent="3"/>
    </xf>
    <xf numFmtId="0" fontId="3" fillId="2" borderId="11" xfId="4" applyFont="1" applyFill="1" applyBorder="1" applyAlignment="1" applyProtection="1">
      <alignment horizontal="left" vertical="center" wrapText="1" indent="4"/>
    </xf>
    <xf numFmtId="0" fontId="10" fillId="3" borderId="15" xfId="4" applyFont="1" applyFill="1" applyBorder="1" applyAlignment="1" applyProtection="1">
      <alignment horizontal="left" vertical="center" wrapText="1" indent="2"/>
    </xf>
    <xf numFmtId="0" fontId="16" fillId="6" borderId="15" xfId="4" applyFont="1" applyFill="1" applyBorder="1" applyAlignment="1">
      <alignment horizontal="left" vertical="center" wrapText="1" indent="5"/>
    </xf>
    <xf numFmtId="0" fontId="16" fillId="3" borderId="15" xfId="2" applyFont="1" applyFill="1" applyBorder="1" applyAlignment="1" applyProtection="1">
      <alignment horizontal="left" vertical="center" indent="5"/>
      <protection locked="0"/>
    </xf>
    <xf numFmtId="0" fontId="12" fillId="6" borderId="15" xfId="4" applyFont="1" applyFill="1" applyBorder="1" applyAlignment="1">
      <alignment horizontal="left" vertical="center" wrapText="1" indent="7"/>
    </xf>
    <xf numFmtId="0" fontId="16" fillId="3" borderId="15" xfId="2" applyFont="1" applyFill="1" applyBorder="1" applyAlignment="1" applyProtection="1">
      <alignment horizontal="left" vertical="center" indent="4"/>
      <protection locked="0"/>
    </xf>
    <xf numFmtId="0" fontId="16" fillId="6" borderId="15" xfId="4" applyFont="1" applyFill="1" applyBorder="1" applyAlignment="1">
      <alignment horizontal="left" vertical="center" wrapText="1" indent="7"/>
    </xf>
    <xf numFmtId="0" fontId="16" fillId="6" borderId="15" xfId="4" applyFont="1" applyFill="1" applyBorder="1" applyAlignment="1">
      <alignment horizontal="left" vertical="center" wrapText="1" indent="4"/>
    </xf>
    <xf numFmtId="0" fontId="15" fillId="6" borderId="26" xfId="4" applyFont="1" applyFill="1" applyBorder="1" applyAlignment="1">
      <alignment horizontal="left" vertical="center" wrapText="1" indent="3"/>
    </xf>
    <xf numFmtId="0" fontId="15" fillId="6" borderId="15" xfId="4" applyFont="1" applyFill="1" applyBorder="1" applyAlignment="1">
      <alignment horizontal="left" vertical="center" wrapText="1" indent="3"/>
    </xf>
    <xf numFmtId="0" fontId="16" fillId="3" borderId="15" xfId="4" applyFont="1" applyFill="1" applyBorder="1" applyAlignment="1">
      <alignment horizontal="left" vertical="center" wrapText="1" indent="5"/>
    </xf>
    <xf numFmtId="0" fontId="6" fillId="2" borderId="15" xfId="4" applyFont="1" applyFill="1" applyBorder="1" applyAlignment="1" applyProtection="1">
      <alignment horizontal="left" vertical="center" wrapText="1" indent="6"/>
    </xf>
    <xf numFmtId="0" fontId="16" fillId="2" borderId="15" xfId="4" applyFont="1" applyFill="1" applyBorder="1" applyAlignment="1">
      <alignment horizontal="left" vertical="center" wrapText="1" indent="5"/>
    </xf>
    <xf numFmtId="0" fontId="3" fillId="2" borderId="15" xfId="4" applyFont="1" applyFill="1" applyBorder="1" applyAlignment="1">
      <alignment horizontal="left" vertical="center" wrapText="1" indent="4"/>
    </xf>
    <xf numFmtId="0" fontId="3" fillId="2" borderId="11" xfId="4" applyFont="1" applyFill="1" applyBorder="1" applyAlignment="1">
      <alignment horizontal="left" vertical="center" wrapText="1" indent="4"/>
    </xf>
    <xf numFmtId="0" fontId="15" fillId="0" borderId="11" xfId="4" applyFont="1" applyFill="1" applyBorder="1" applyAlignment="1" applyProtection="1">
      <alignment horizontal="left" vertical="center" wrapText="1" indent="3"/>
    </xf>
    <xf numFmtId="0" fontId="15" fillId="3" borderId="15" xfId="4" applyFont="1" applyFill="1" applyBorder="1" applyAlignment="1" applyProtection="1">
      <alignment horizontal="left" vertical="center" wrapText="1" indent="3"/>
    </xf>
    <xf numFmtId="0" fontId="15" fillId="0" borderId="15" xfId="4" applyFont="1" applyFill="1" applyBorder="1" applyAlignment="1" applyProtection="1">
      <alignment horizontal="left" vertical="center" wrapText="1" indent="3"/>
    </xf>
    <xf numFmtId="0" fontId="15" fillId="0" borderId="21" xfId="4" applyFont="1" applyFill="1" applyBorder="1" applyAlignment="1" applyProtection="1">
      <alignment horizontal="left" vertical="center" wrapText="1" indent="3"/>
    </xf>
    <xf numFmtId="175" fontId="4" fillId="3" borderId="30" xfId="5" applyNumberFormat="1" applyFont="1" applyFill="1" applyBorder="1" applyAlignment="1" applyProtection="1">
      <alignment horizontal="center" vertical="center"/>
    </xf>
    <xf numFmtId="175" fontId="6" fillId="3" borderId="34" xfId="5" applyNumberFormat="1" applyFont="1" applyFill="1" applyBorder="1" applyAlignment="1" applyProtection="1">
      <alignment horizontal="center" vertical="center" wrapText="1"/>
    </xf>
    <xf numFmtId="175" fontId="3" fillId="0" borderId="18" xfId="5" applyNumberFormat="1" applyFont="1" applyBorder="1" applyAlignment="1" applyProtection="1">
      <alignment vertical="center"/>
      <protection locked="0"/>
    </xf>
    <xf numFmtId="175" fontId="16" fillId="0" borderId="18" xfId="5" applyNumberFormat="1" applyFont="1" applyBorder="1" applyAlignment="1" applyProtection="1">
      <alignment vertical="center"/>
      <protection locked="0"/>
    </xf>
    <xf numFmtId="175" fontId="4" fillId="3" borderId="18" xfId="5" applyNumberFormat="1" applyFont="1" applyFill="1" applyBorder="1" applyAlignment="1" applyProtection="1">
      <alignment vertical="center"/>
      <protection locked="0"/>
    </xf>
    <xf numFmtId="175" fontId="3" fillId="3" borderId="18" xfId="5" applyNumberFormat="1" applyFont="1" applyFill="1" applyBorder="1" applyAlignment="1" applyProtection="1">
      <alignment vertical="center"/>
      <protection locked="0"/>
    </xf>
    <xf numFmtId="175" fontId="16" fillId="3" borderId="18" xfId="5" applyNumberFormat="1" applyFont="1" applyFill="1" applyBorder="1" applyAlignment="1" applyProtection="1">
      <alignment horizontal="center" vertical="center" wrapText="1"/>
    </xf>
    <xf numFmtId="175" fontId="16" fillId="2" borderId="18" xfId="4" applyNumberFormat="1" applyFont="1" applyFill="1" applyBorder="1" applyAlignment="1" applyProtection="1">
      <alignment horizontal="center" vertical="center" wrapText="1"/>
      <protection locked="0"/>
    </xf>
    <xf numFmtId="165" fontId="16" fillId="2" borderId="35" xfId="76" applyNumberFormat="1" applyFont="1" applyFill="1" applyBorder="1" applyAlignment="1" applyProtection="1">
      <alignment horizontal="center" vertical="center" wrapText="1"/>
      <protection locked="0"/>
    </xf>
    <xf numFmtId="175" fontId="16" fillId="20" borderId="35" xfId="4" applyNumberFormat="1" applyFont="1" applyFill="1" applyBorder="1" applyAlignment="1" applyProtection="1">
      <alignment horizontal="center" vertical="center" wrapText="1"/>
      <protection locked="0"/>
    </xf>
    <xf numFmtId="175" fontId="16" fillId="2" borderId="22" xfId="4" applyNumberFormat="1" applyFont="1" applyFill="1" applyBorder="1" applyAlignment="1" applyProtection="1">
      <alignment horizontal="center" vertical="center" wrapText="1"/>
      <protection locked="0"/>
    </xf>
    <xf numFmtId="0" fontId="7" fillId="3" borderId="5" xfId="4" applyFont="1" applyFill="1" applyBorder="1" applyAlignment="1" applyProtection="1">
      <alignment vertical="center" wrapText="1"/>
      <protection locked="0"/>
    </xf>
    <xf numFmtId="0" fontId="14" fillId="3" borderId="6" xfId="4" applyFont="1" applyFill="1" applyBorder="1" applyAlignment="1" applyProtection="1">
      <alignment horizontal="left" vertical="center" wrapText="1" indent="2"/>
    </xf>
    <xf numFmtId="0" fontId="12" fillId="2" borderId="15" xfId="4" applyFont="1" applyFill="1" applyBorder="1" applyAlignment="1" applyProtection="1">
      <alignment horizontal="left" vertical="center" wrapText="1" indent="3"/>
    </xf>
    <xf numFmtId="0" fontId="14" fillId="3" borderId="15" xfId="4" applyFont="1" applyFill="1" applyBorder="1" applyAlignment="1" applyProtection="1">
      <alignment horizontal="left" vertical="center" wrapText="1" indent="2"/>
    </xf>
    <xf numFmtId="0" fontId="15" fillId="3" borderId="15" xfId="4" applyFont="1" applyFill="1" applyBorder="1" applyAlignment="1">
      <alignment horizontal="left" vertical="center" wrapText="1" indent="3"/>
    </xf>
    <xf numFmtId="0" fontId="3" fillId="2" borderId="15" xfId="4" applyFont="1" applyFill="1" applyBorder="1" applyAlignment="1">
      <alignment horizontal="left" vertical="center" wrapText="1" indent="5"/>
    </xf>
    <xf numFmtId="0" fontId="15" fillId="2" borderId="15" xfId="4" applyFont="1" applyFill="1" applyBorder="1" applyAlignment="1">
      <alignment horizontal="left" vertical="center" wrapText="1" indent="3"/>
    </xf>
    <xf numFmtId="0" fontId="15" fillId="2" borderId="26" xfId="4" applyFont="1" applyFill="1" applyBorder="1" applyAlignment="1">
      <alignment horizontal="left" vertical="center" wrapText="1" indent="3"/>
    </xf>
    <xf numFmtId="0" fontId="15" fillId="20" borderId="15" xfId="4" applyFont="1" applyFill="1" applyBorder="1" applyAlignment="1">
      <alignment horizontal="left" vertical="center" wrapText="1" indent="3"/>
    </xf>
    <xf numFmtId="0" fontId="15" fillId="2" borderId="21" xfId="4" applyFont="1" applyFill="1" applyBorder="1" applyAlignment="1">
      <alignment horizontal="left" vertical="center" wrapText="1" indent="3"/>
    </xf>
    <xf numFmtId="44" fontId="4" fillId="3" borderId="30" xfId="5" applyFont="1" applyFill="1" applyBorder="1" applyAlignment="1" applyProtection="1">
      <alignment horizontal="center" vertical="center"/>
    </xf>
    <xf numFmtId="0" fontId="12" fillId="2" borderId="11" xfId="4" applyFont="1" applyFill="1" applyBorder="1" applyAlignment="1" applyProtection="1">
      <alignment horizontal="left" vertical="center" wrapText="1" indent="3"/>
    </xf>
    <xf numFmtId="0" fontId="12" fillId="6" borderId="15" xfId="4" applyFont="1" applyFill="1" applyBorder="1" applyAlignment="1">
      <alignment horizontal="left" vertical="center" wrapText="1" indent="6"/>
    </xf>
    <xf numFmtId="0" fontId="16" fillId="3" borderId="15" xfId="4" applyFont="1" applyFill="1" applyBorder="1" applyAlignment="1">
      <alignment horizontal="left" vertical="center" wrapText="1" indent="4"/>
    </xf>
    <xf numFmtId="175" fontId="4" fillId="3" borderId="69" xfId="5" applyNumberFormat="1" applyFont="1" applyFill="1" applyBorder="1" applyAlignment="1" applyProtection="1">
      <alignment horizontal="center" vertical="center"/>
    </xf>
    <xf numFmtId="175" fontId="4" fillId="3" borderId="25" xfId="5" applyNumberFormat="1" applyFont="1" applyFill="1" applyBorder="1" applyAlignment="1" applyProtection="1">
      <alignment horizontal="center" vertical="center"/>
    </xf>
    <xf numFmtId="175" fontId="3" fillId="3" borderId="34" xfId="5" applyNumberFormat="1" applyFont="1" applyFill="1" applyBorder="1" applyAlignment="1" applyProtection="1">
      <alignment horizontal="center" vertical="center"/>
    </xf>
    <xf numFmtId="175" fontId="3" fillId="2" borderId="18" xfId="5" applyNumberFormat="1" applyFont="1" applyFill="1" applyBorder="1" applyAlignment="1" applyProtection="1">
      <alignment horizontal="center" vertical="center"/>
    </xf>
    <xf numFmtId="175" fontId="3" fillId="2" borderId="20" xfId="5" applyNumberFormat="1" applyFont="1" applyFill="1" applyBorder="1" applyAlignment="1" applyProtection="1">
      <alignment horizontal="center" vertical="center"/>
    </xf>
    <xf numFmtId="175" fontId="3" fillId="2" borderId="34" xfId="5" applyNumberFormat="1" applyFont="1" applyFill="1" applyBorder="1" applyAlignment="1" applyProtection="1">
      <alignment horizontal="center" vertical="center"/>
    </xf>
    <xf numFmtId="175" fontId="3" fillId="2" borderId="13" xfId="5" applyNumberFormat="1" applyFont="1" applyFill="1" applyBorder="1" applyAlignment="1" applyProtection="1">
      <alignment horizontal="center" vertical="center"/>
    </xf>
    <xf numFmtId="175" fontId="4" fillId="3" borderId="34" xfId="5" applyNumberFormat="1" applyFont="1" applyFill="1" applyBorder="1" applyAlignment="1" applyProtection="1">
      <alignment horizontal="center" vertical="center"/>
    </xf>
    <xf numFmtId="175" fontId="3" fillId="2" borderId="34" xfId="2" applyNumberFormat="1" applyFont="1" applyFill="1" applyBorder="1" applyAlignment="1" applyProtection="1">
      <alignment horizontal="center" vertical="center"/>
    </xf>
    <xf numFmtId="175" fontId="3" fillId="2" borderId="13" xfId="2" applyNumberFormat="1" applyFont="1" applyFill="1" applyBorder="1" applyAlignment="1" applyProtection="1">
      <alignment horizontal="center" vertical="center"/>
    </xf>
    <xf numFmtId="175" fontId="3" fillId="0" borderId="34" xfId="2" applyNumberFormat="1" applyFont="1" applyBorder="1" applyAlignment="1" applyProtection="1">
      <alignment horizontal="center" vertical="center"/>
      <protection locked="0"/>
    </xf>
    <xf numFmtId="175" fontId="3" fillId="0" borderId="13" xfId="2" applyNumberFormat="1" applyFont="1" applyBorder="1" applyAlignment="1" applyProtection="1">
      <alignment horizontal="center" vertical="center"/>
      <protection locked="0"/>
    </xf>
    <xf numFmtId="175" fontId="3" fillId="2" borderId="34" xfId="5" applyNumberFormat="1" applyFont="1" applyFill="1" applyBorder="1" applyAlignment="1" applyProtection="1">
      <alignment horizontal="center" vertical="center"/>
      <protection locked="0"/>
    </xf>
    <xf numFmtId="175" fontId="3" fillId="2" borderId="13" xfId="5" applyNumberFormat="1" applyFont="1" applyFill="1" applyBorder="1" applyAlignment="1" applyProtection="1">
      <alignment horizontal="center" vertical="center"/>
      <protection locked="0"/>
    </xf>
    <xf numFmtId="175" fontId="3" fillId="2" borderId="18" xfId="5" applyNumberFormat="1" applyFont="1" applyFill="1" applyBorder="1" applyAlignment="1" applyProtection="1">
      <alignment horizontal="center" vertical="center"/>
      <protection locked="0"/>
    </xf>
    <xf numFmtId="175" fontId="3" fillId="2" borderId="20" xfId="5" applyNumberFormat="1" applyFont="1" applyFill="1" applyBorder="1" applyAlignment="1" applyProtection="1">
      <alignment horizontal="center" vertical="center"/>
      <protection locked="0"/>
    </xf>
    <xf numFmtId="175" fontId="3" fillId="2" borderId="10" xfId="5" applyNumberFormat="1" applyFont="1" applyFill="1" applyBorder="1" applyAlignment="1" applyProtection="1">
      <alignment horizontal="center" vertical="center"/>
      <protection locked="0"/>
    </xf>
    <xf numFmtId="175" fontId="16" fillId="3" borderId="18" xfId="5" applyNumberFormat="1" applyFont="1" applyFill="1" applyBorder="1" applyAlignment="1" applyProtection="1">
      <alignment vertical="center"/>
      <protection locked="0"/>
    </xf>
    <xf numFmtId="175" fontId="16" fillId="2" borderId="18" xfId="5" applyNumberFormat="1" applyFont="1" applyFill="1" applyBorder="1" applyAlignment="1" applyProtection="1">
      <alignment horizontal="center" vertical="center"/>
    </xf>
    <xf numFmtId="175" fontId="16" fillId="2" borderId="20" xfId="5" applyNumberFormat="1" applyFont="1" applyFill="1" applyBorder="1" applyAlignment="1" applyProtection="1">
      <alignment horizontal="center" vertical="center"/>
    </xf>
    <xf numFmtId="175" fontId="16" fillId="0" borderId="27" xfId="5" applyNumberFormat="1" applyFont="1" applyBorder="1" applyAlignment="1" applyProtection="1">
      <alignment vertical="center"/>
      <protection locked="0"/>
    </xf>
    <xf numFmtId="175" fontId="16" fillId="0" borderId="28" xfId="5" applyNumberFormat="1" applyFont="1" applyBorder="1" applyAlignment="1" applyProtection="1">
      <alignment vertical="center"/>
      <protection locked="0"/>
    </xf>
    <xf numFmtId="175" fontId="3" fillId="0" borderId="13" xfId="5" applyNumberFormat="1" applyFont="1" applyBorder="1" applyAlignment="1" applyProtection="1">
      <alignment vertical="center"/>
      <protection locked="0"/>
    </xf>
    <xf numFmtId="175" fontId="3" fillId="0" borderId="18" xfId="5" applyNumberFormat="1" applyFont="1" applyFill="1" applyBorder="1" applyAlignment="1" applyProtection="1">
      <alignment horizontal="center" vertical="center"/>
      <protection locked="0"/>
    </xf>
    <xf numFmtId="175" fontId="3" fillId="0" borderId="20" xfId="5" applyNumberFormat="1" applyFont="1" applyFill="1" applyBorder="1" applyAlignment="1" applyProtection="1">
      <alignment horizontal="center" vertical="center"/>
      <protection locked="0"/>
    </xf>
    <xf numFmtId="175" fontId="3" fillId="2" borderId="35" xfId="5" applyNumberFormat="1" applyFont="1" applyFill="1" applyBorder="1" applyAlignment="1" applyProtection="1">
      <alignment horizontal="center" vertical="center"/>
      <protection locked="0"/>
    </xf>
    <xf numFmtId="175" fontId="3" fillId="2" borderId="28" xfId="5" applyNumberFormat="1" applyFont="1" applyFill="1" applyBorder="1" applyAlignment="1" applyProtection="1">
      <alignment horizontal="center" vertical="center"/>
      <protection locked="0"/>
    </xf>
    <xf numFmtId="175" fontId="3" fillId="2" borderId="35" xfId="5" applyNumberFormat="1" applyFont="1" applyFill="1" applyBorder="1" applyAlignment="1" applyProtection="1">
      <alignment vertical="center"/>
      <protection locked="0"/>
    </xf>
    <xf numFmtId="175" fontId="3" fillId="2" borderId="28" xfId="5" applyNumberFormat="1" applyFont="1" applyFill="1" applyBorder="1" applyAlignment="1" applyProtection="1">
      <alignment vertical="center"/>
      <protection locked="0"/>
    </xf>
    <xf numFmtId="175" fontId="3" fillId="0" borderId="22" xfId="5" applyNumberFormat="1" applyFont="1" applyBorder="1" applyAlignment="1" applyProtection="1">
      <alignment vertical="center"/>
      <protection locked="0"/>
    </xf>
    <xf numFmtId="175" fontId="3" fillId="0" borderId="23" xfId="5" applyNumberFormat="1" applyFont="1" applyBorder="1" applyAlignment="1" applyProtection="1">
      <alignment vertical="center"/>
      <protection locked="0"/>
    </xf>
    <xf numFmtId="175" fontId="3" fillId="7" borderId="21" xfId="5" applyNumberFormat="1" applyFont="1" applyFill="1" applyBorder="1" applyAlignment="1" applyProtection="1">
      <alignment horizontal="center" vertical="center"/>
    </xf>
    <xf numFmtId="0" fontId="6" fillId="3" borderId="4" xfId="4" applyFont="1" applyFill="1" applyBorder="1" applyAlignment="1" applyProtection="1">
      <alignment horizontal="center" vertical="center" wrapText="1"/>
      <protection locked="0"/>
    </xf>
    <xf numFmtId="0" fontId="6" fillId="3" borderId="5" xfId="4" applyFont="1" applyFill="1" applyBorder="1" applyAlignment="1" applyProtection="1">
      <alignment vertical="center" wrapText="1"/>
      <protection locked="0"/>
    </xf>
    <xf numFmtId="44" fontId="4" fillId="3" borderId="45" xfId="5" applyFont="1" applyFill="1" applyBorder="1" applyAlignment="1" applyProtection="1">
      <alignment horizontal="center" vertical="center"/>
    </xf>
    <xf numFmtId="44" fontId="4" fillId="3" borderId="66" xfId="5" applyFont="1" applyFill="1" applyBorder="1" applyAlignment="1" applyProtection="1">
      <alignment horizontal="center" vertical="center"/>
    </xf>
    <xf numFmtId="44" fontId="4" fillId="3" borderId="89" xfId="5" applyFont="1" applyFill="1" applyBorder="1" applyAlignment="1" applyProtection="1">
      <alignment horizontal="center" vertical="center"/>
    </xf>
    <xf numFmtId="44" fontId="3" fillId="0" borderId="9" xfId="5" applyFont="1" applyBorder="1" applyAlignment="1" applyProtection="1">
      <alignment vertical="center"/>
      <protection locked="0"/>
    </xf>
    <xf numFmtId="44" fontId="3" fillId="0" borderId="10" xfId="5" applyFont="1" applyBorder="1" applyAlignment="1" applyProtection="1">
      <alignment vertical="center"/>
      <protection locked="0"/>
    </xf>
    <xf numFmtId="44" fontId="3" fillId="0" borderId="38" xfId="5" applyFont="1" applyBorder="1" applyAlignment="1" applyProtection="1">
      <alignment vertical="center"/>
      <protection locked="0"/>
    </xf>
    <xf numFmtId="44" fontId="16" fillId="2" borderId="9" xfId="4" applyNumberFormat="1" applyFont="1" applyFill="1" applyBorder="1" applyAlignment="1" applyProtection="1">
      <alignment horizontal="center" vertical="center" wrapText="1"/>
      <protection locked="0"/>
    </xf>
    <xf numFmtId="44" fontId="16" fillId="20" borderId="97" xfId="4" applyNumberFormat="1" applyFont="1" applyFill="1" applyBorder="1" applyAlignment="1" applyProtection="1">
      <alignment horizontal="center" vertical="center" wrapText="1"/>
      <protection locked="0"/>
    </xf>
    <xf numFmtId="165" fontId="16" fillId="2" borderId="97" xfId="4" applyNumberFormat="1" applyFont="1" applyFill="1" applyBorder="1" applyAlignment="1" applyProtection="1">
      <alignment horizontal="center" vertical="center" wrapText="1"/>
      <protection locked="0"/>
    </xf>
    <xf numFmtId="44" fontId="4" fillId="3" borderId="9" xfId="5" applyFont="1" applyFill="1" applyBorder="1" applyAlignment="1" applyProtection="1">
      <alignment vertical="center"/>
      <protection locked="0"/>
    </xf>
    <xf numFmtId="44" fontId="4" fillId="3" borderId="10" xfId="5" applyFont="1" applyFill="1" applyBorder="1" applyAlignment="1" applyProtection="1">
      <alignment vertical="center"/>
      <protection locked="0"/>
    </xf>
    <xf numFmtId="42" fontId="16" fillId="2" borderId="41" xfId="4" applyNumberFormat="1" applyFont="1" applyFill="1" applyBorder="1" applyAlignment="1" applyProtection="1">
      <alignment horizontal="center" vertical="center" wrapText="1"/>
      <protection locked="0"/>
    </xf>
    <xf numFmtId="42" fontId="16" fillId="2" borderId="40" xfId="4" applyNumberFormat="1" applyFont="1" applyFill="1" applyBorder="1" applyAlignment="1" applyProtection="1">
      <alignment horizontal="center" vertical="center" wrapText="1"/>
      <protection locked="0"/>
    </xf>
    <xf numFmtId="42" fontId="3" fillId="7" borderId="73" xfId="5" applyNumberFormat="1" applyFont="1" applyFill="1" applyBorder="1" applyAlignment="1" applyProtection="1">
      <alignment vertical="center"/>
    </xf>
    <xf numFmtId="44" fontId="16" fillId="3" borderId="71" xfId="5" applyFont="1" applyFill="1" applyBorder="1" applyAlignment="1" applyProtection="1">
      <alignment horizontal="center" vertical="center" wrapText="1"/>
    </xf>
    <xf numFmtId="175" fontId="4" fillId="3" borderId="66" xfId="5" applyNumberFormat="1" applyFont="1" applyFill="1" applyBorder="1" applyAlignment="1" applyProtection="1">
      <alignment horizontal="center" vertical="center"/>
    </xf>
    <xf numFmtId="175" fontId="3" fillId="7" borderId="14" xfId="5" applyNumberFormat="1" applyFont="1" applyFill="1" applyBorder="1" applyAlignment="1" applyProtection="1">
      <alignment horizontal="center" vertical="center"/>
    </xf>
    <xf numFmtId="44" fontId="16" fillId="3" borderId="14" xfId="5" applyFont="1" applyFill="1" applyBorder="1" applyAlignment="1" applyProtection="1">
      <alignment horizontal="center" vertical="center" wrapText="1"/>
    </xf>
    <xf numFmtId="175" fontId="3" fillId="3" borderId="66" xfId="5" applyNumberFormat="1" applyFont="1" applyFill="1" applyBorder="1" applyAlignment="1" applyProtection="1">
      <alignment horizontal="center" vertical="center"/>
    </xf>
    <xf numFmtId="44" fontId="6" fillId="3" borderId="43" xfId="5" applyFont="1" applyFill="1" applyBorder="1" applyAlignment="1" applyProtection="1">
      <alignment horizontal="center" vertical="center" wrapText="1"/>
    </xf>
    <xf numFmtId="44" fontId="6" fillId="3" borderId="38" xfId="5" applyFont="1" applyFill="1" applyBorder="1" applyAlignment="1" applyProtection="1">
      <alignment horizontal="center" vertical="center" wrapText="1"/>
    </xf>
    <xf numFmtId="44" fontId="6" fillId="3" borderId="71" xfId="5" applyFont="1" applyFill="1" applyBorder="1" applyAlignment="1" applyProtection="1">
      <alignment horizontal="center" vertical="center" wrapText="1"/>
    </xf>
    <xf numFmtId="44" fontId="6" fillId="3" borderId="14" xfId="5" applyFont="1" applyFill="1" applyBorder="1" applyAlignment="1" applyProtection="1">
      <alignment horizontal="center" vertical="center" wrapText="1"/>
    </xf>
    <xf numFmtId="44" fontId="3" fillId="0" borderId="71" xfId="5" applyFont="1" applyBorder="1" applyAlignment="1" applyProtection="1">
      <alignment vertical="center"/>
      <protection locked="0"/>
    </xf>
    <xf numFmtId="0" fontId="6" fillId="19" borderId="67" xfId="2" applyFont="1" applyFill="1" applyBorder="1" applyAlignment="1">
      <alignment vertical="center" wrapText="1"/>
    </xf>
    <xf numFmtId="0" fontId="6" fillId="19" borderId="5" xfId="2" applyFont="1" applyFill="1" applyBorder="1" applyAlignment="1">
      <alignment horizontal="left" vertical="center" wrapText="1" indent="1"/>
    </xf>
    <xf numFmtId="0" fontId="16" fillId="2" borderId="11" xfId="2" applyFont="1" applyFill="1" applyBorder="1" applyAlignment="1">
      <alignment vertical="center" wrapText="1"/>
    </xf>
    <xf numFmtId="0" fontId="16" fillId="2" borderId="21" xfId="2" applyFont="1" applyFill="1" applyBorder="1" applyAlignment="1">
      <alignment vertical="center" wrapText="1"/>
    </xf>
    <xf numFmtId="42" fontId="16" fillId="2" borderId="93" xfId="2" applyNumberFormat="1" applyFont="1" applyFill="1" applyBorder="1" applyAlignment="1">
      <alignment horizontal="center" vertical="center" wrapText="1"/>
    </xf>
    <xf numFmtId="0" fontId="16" fillId="2" borderId="0" xfId="2" applyFont="1" applyFill="1" applyBorder="1" applyAlignment="1">
      <alignment horizontal="center" vertical="center"/>
    </xf>
    <xf numFmtId="0" fontId="16" fillId="19" borderId="72" xfId="2" applyFont="1" applyFill="1" applyBorder="1" applyAlignment="1">
      <alignment horizontal="center" vertical="center" wrapText="1"/>
    </xf>
    <xf numFmtId="42" fontId="3" fillId="0" borderId="90" xfId="75" applyNumberFormat="1" applyFont="1" applyBorder="1" applyAlignment="1">
      <alignment horizontal="center" vertical="center"/>
    </xf>
    <xf numFmtId="42" fontId="3" fillId="0" borderId="103" xfId="75" applyNumberFormat="1" applyFont="1" applyBorder="1" applyAlignment="1">
      <alignment horizontal="center" vertical="center"/>
    </xf>
    <xf numFmtId="42" fontId="3" fillId="0" borderId="91" xfId="75" applyNumberFormat="1" applyFont="1" applyBorder="1" applyAlignment="1">
      <alignment horizontal="center" vertical="center"/>
    </xf>
    <xf numFmtId="42" fontId="3" fillId="0" borderId="104" xfId="75" applyNumberFormat="1" applyFont="1" applyBorder="1" applyAlignment="1">
      <alignment horizontal="center" vertical="center"/>
    </xf>
    <xf numFmtId="42" fontId="3" fillId="0" borderId="78" xfId="75" applyNumberFormat="1" applyFont="1" applyBorder="1" applyAlignment="1">
      <alignment horizontal="center" vertical="center"/>
    </xf>
    <xf numFmtId="42" fontId="3" fillId="0" borderId="79" xfId="75" applyNumberFormat="1" applyFont="1" applyBorder="1" applyAlignment="1">
      <alignment horizontal="center" vertical="center"/>
    </xf>
    <xf numFmtId="42" fontId="3" fillId="0" borderId="80" xfId="75" applyNumberFormat="1" applyFont="1" applyBorder="1" applyAlignment="1">
      <alignment horizontal="center" vertical="center"/>
    </xf>
    <xf numFmtId="42" fontId="3" fillId="0" borderId="102" xfId="75" applyNumberFormat="1" applyFont="1" applyBorder="1" applyAlignment="1">
      <alignment horizontal="center" vertical="center"/>
    </xf>
    <xf numFmtId="42" fontId="3" fillId="0" borderId="81" xfId="75" applyNumberFormat="1" applyFont="1" applyBorder="1" applyAlignment="1">
      <alignment horizontal="center" vertical="center"/>
    </xf>
    <xf numFmtId="42" fontId="3" fillId="0" borderId="82" xfId="75" applyNumberFormat="1" applyFont="1" applyBorder="1" applyAlignment="1">
      <alignment horizontal="center" vertical="center"/>
    </xf>
    <xf numFmtId="42" fontId="3" fillId="0" borderId="83" xfId="75" applyNumberFormat="1" applyFont="1" applyBorder="1" applyAlignment="1">
      <alignment horizontal="center" vertical="center"/>
    </xf>
    <xf numFmtId="42" fontId="3" fillId="0" borderId="85" xfId="75" applyNumberFormat="1" applyFont="1" applyBorder="1" applyAlignment="1">
      <alignment horizontal="center" vertical="center"/>
    </xf>
    <xf numFmtId="42" fontId="3" fillId="0" borderId="0" xfId="75" applyNumberFormat="1" applyFont="1" applyBorder="1" applyAlignment="1">
      <alignment horizontal="center" vertical="center"/>
    </xf>
    <xf numFmtId="42" fontId="16" fillId="0" borderId="56" xfId="75" applyNumberFormat="1" applyFont="1" applyFill="1" applyBorder="1" applyAlignment="1">
      <alignment horizontal="center" vertical="center"/>
    </xf>
    <xf numFmtId="42" fontId="16" fillId="0" borderId="58" xfId="75" applyNumberFormat="1" applyFont="1" applyFill="1" applyBorder="1" applyAlignment="1">
      <alignment horizontal="center" vertical="center"/>
    </xf>
    <xf numFmtId="42" fontId="16" fillId="0" borderId="60" xfId="75" applyNumberFormat="1" applyFont="1" applyFill="1" applyBorder="1" applyAlignment="1">
      <alignment horizontal="center" vertical="center"/>
    </xf>
    <xf numFmtId="42" fontId="16" fillId="0" borderId="62" xfId="75" applyNumberFormat="1" applyFont="1" applyFill="1" applyBorder="1" applyAlignment="1">
      <alignment horizontal="center" vertical="center"/>
    </xf>
    <xf numFmtId="42" fontId="16" fillId="0" borderId="64" xfId="75" applyNumberFormat="1" applyFont="1" applyFill="1" applyBorder="1" applyAlignment="1">
      <alignment horizontal="center" vertical="center"/>
    </xf>
    <xf numFmtId="174" fontId="3" fillId="0" borderId="0" xfId="75" applyNumberFormat="1" applyFont="1" applyBorder="1" applyAlignment="1">
      <alignment horizontal="center" vertical="center"/>
    </xf>
    <xf numFmtId="42" fontId="3" fillId="0" borderId="56" xfId="75" applyNumberFormat="1" applyFont="1" applyBorder="1" applyAlignment="1">
      <alignment horizontal="center" vertical="center"/>
    </xf>
    <xf numFmtId="42" fontId="3" fillId="0" borderId="58" xfId="75" applyNumberFormat="1" applyFont="1" applyBorder="1" applyAlignment="1">
      <alignment horizontal="center" vertical="center"/>
    </xf>
    <xf numFmtId="42" fontId="3" fillId="0" borderId="60" xfId="75" applyNumberFormat="1" applyFont="1" applyBorder="1" applyAlignment="1">
      <alignment horizontal="center" vertical="center"/>
    </xf>
    <xf numFmtId="42" fontId="3" fillId="0" borderId="62" xfId="75" applyNumberFormat="1" applyFont="1" applyBorder="1" applyAlignment="1">
      <alignment horizontal="center" vertical="center"/>
    </xf>
    <xf numFmtId="42" fontId="3" fillId="0" borderId="64" xfId="75" applyNumberFormat="1" applyFont="1" applyBorder="1" applyAlignment="1">
      <alignment horizontal="center" vertical="center"/>
    </xf>
    <xf numFmtId="6" fontId="3" fillId="0" borderId="55" xfId="75" applyNumberFormat="1" applyFont="1" applyBorder="1" applyAlignment="1">
      <alignment horizontal="center" vertical="center"/>
    </xf>
    <xf numFmtId="0" fontId="3" fillId="0" borderId="56" xfId="75" applyNumberFormat="1" applyFont="1" applyBorder="1" applyAlignment="1">
      <alignment horizontal="center" vertical="center"/>
    </xf>
    <xf numFmtId="0" fontId="3" fillId="0" borderId="58" xfId="75" applyNumberFormat="1" applyFont="1" applyBorder="1" applyAlignment="1">
      <alignment horizontal="center" vertical="center"/>
    </xf>
    <xf numFmtId="0" fontId="3" fillId="0" borderId="60" xfId="75" applyNumberFormat="1" applyFont="1" applyBorder="1" applyAlignment="1">
      <alignment horizontal="center" vertical="center"/>
    </xf>
    <xf numFmtId="0" fontId="3" fillId="0" borderId="62" xfId="75" applyNumberFormat="1" applyFont="1" applyBorder="1" applyAlignment="1">
      <alignment horizontal="center" vertical="center"/>
    </xf>
    <xf numFmtId="0" fontId="3" fillId="0" borderId="64" xfId="75" applyNumberFormat="1" applyFont="1" applyBorder="1" applyAlignment="1">
      <alignment horizontal="center" vertical="center"/>
    </xf>
    <xf numFmtId="6" fontId="3" fillId="0" borderId="0" xfId="2" applyNumberFormat="1" applyFont="1" applyAlignment="1" applyProtection="1">
      <alignment vertical="center"/>
      <protection locked="0"/>
    </xf>
    <xf numFmtId="0" fontId="16" fillId="2" borderId="0" xfId="2" applyFont="1" applyFill="1" applyBorder="1" applyAlignment="1">
      <alignment vertical="center" wrapText="1"/>
    </xf>
    <xf numFmtId="42" fontId="16" fillId="2" borderId="0" xfId="2" applyNumberFormat="1" applyFont="1" applyFill="1" applyBorder="1" applyAlignment="1">
      <alignment horizontal="center" vertical="center" wrapText="1"/>
    </xf>
    <xf numFmtId="175" fontId="3" fillId="0" borderId="55" xfId="75" applyNumberFormat="1" applyFont="1" applyBorder="1" applyAlignment="1">
      <alignment horizontal="center" vertical="center"/>
    </xf>
    <xf numFmtId="175" fontId="3" fillId="0" borderId="0" xfId="2" applyNumberFormat="1" applyFont="1" applyAlignment="1" applyProtection="1">
      <alignment vertical="center"/>
      <protection locked="0"/>
    </xf>
    <xf numFmtId="175" fontId="3" fillId="0" borderId="0" xfId="2" applyNumberFormat="1" applyFont="1" applyAlignment="1" applyProtection="1">
      <alignment horizontal="center" vertical="center"/>
      <protection locked="0"/>
    </xf>
    <xf numFmtId="0" fontId="16" fillId="0" borderId="46" xfId="2" applyFont="1" applyFill="1" applyBorder="1" applyAlignment="1">
      <alignment horizontal="left" vertical="center" wrapText="1" indent="1"/>
    </xf>
    <xf numFmtId="174" fontId="3" fillId="0" borderId="55" xfId="75" applyNumberFormat="1" applyFont="1" applyFill="1" applyBorder="1" applyAlignment="1">
      <alignment horizontal="center" vertical="center"/>
    </xf>
    <xf numFmtId="174" fontId="3" fillId="0" borderId="56" xfId="75" applyNumberFormat="1" applyFont="1" applyFill="1" applyBorder="1" applyAlignment="1">
      <alignment horizontal="center" vertical="center"/>
    </xf>
    <xf numFmtId="42" fontId="3" fillId="0" borderId="55" xfId="75" applyNumberFormat="1" applyFont="1" applyFill="1" applyBorder="1" applyAlignment="1">
      <alignment horizontal="center" vertical="center"/>
    </xf>
    <xf numFmtId="42" fontId="3" fillId="0" borderId="59" xfId="75" applyNumberFormat="1" applyFont="1" applyFill="1" applyBorder="1" applyAlignment="1">
      <alignment horizontal="center" vertical="center"/>
    </xf>
    <xf numFmtId="174" fontId="3" fillId="0" borderId="60" xfId="75" applyNumberFormat="1" applyFont="1" applyFill="1" applyBorder="1" applyAlignment="1">
      <alignment horizontal="center" vertical="center"/>
    </xf>
    <xf numFmtId="174" fontId="3" fillId="0" borderId="59" xfId="75" applyNumberFormat="1" applyFont="1" applyFill="1" applyBorder="1" applyAlignment="1">
      <alignment horizontal="center" vertical="center"/>
    </xf>
    <xf numFmtId="42" fontId="3" fillId="21" borderId="78" xfId="75" applyNumberFormat="1" applyFont="1" applyFill="1" applyBorder="1" applyAlignment="1">
      <alignment horizontal="center" vertical="center"/>
    </xf>
    <xf numFmtId="42" fontId="3" fillId="21" borderId="80" xfId="75" applyNumberFormat="1" applyFont="1" applyFill="1" applyBorder="1" applyAlignment="1">
      <alignment horizontal="center" vertical="center"/>
    </xf>
    <xf numFmtId="42" fontId="3" fillId="21" borderId="102" xfId="75" applyNumberFormat="1" applyFont="1" applyFill="1" applyBorder="1" applyAlignment="1">
      <alignment horizontal="center" vertical="center"/>
    </xf>
    <xf numFmtId="42" fontId="3" fillId="21" borderId="79" xfId="75" applyNumberFormat="1" applyFont="1" applyFill="1" applyBorder="1" applyAlignment="1">
      <alignment horizontal="center" vertical="center"/>
    </xf>
    <xf numFmtId="0" fontId="9" fillId="21" borderId="71" xfId="6" applyFont="1" applyFill="1" applyBorder="1" applyAlignment="1" applyProtection="1">
      <alignment horizontal="center" vertical="center"/>
      <protection locked="0"/>
    </xf>
    <xf numFmtId="0" fontId="13" fillId="21" borderId="15" xfId="4" applyFont="1" applyFill="1" applyBorder="1" applyAlignment="1" applyProtection="1">
      <alignment horizontal="left" vertical="center" wrapText="1" indent="3"/>
      <protection locked="0"/>
    </xf>
    <xf numFmtId="44" fontId="16" fillId="21" borderId="43" xfId="5" applyNumberFormat="1" applyFont="1" applyFill="1" applyBorder="1" applyAlignment="1" applyProtection="1">
      <alignment horizontal="center" vertical="center" wrapText="1"/>
    </xf>
    <xf numFmtId="44" fontId="3" fillId="21" borderId="20" xfId="5" applyFont="1" applyFill="1" applyBorder="1" applyAlignment="1" applyProtection="1">
      <alignment horizontal="center" vertical="center"/>
      <protection locked="0"/>
    </xf>
    <xf numFmtId="44" fontId="3" fillId="21" borderId="10" xfId="5" applyFont="1" applyFill="1" applyBorder="1" applyAlignment="1" applyProtection="1">
      <alignment horizontal="center" vertical="center"/>
      <protection locked="0"/>
    </xf>
    <xf numFmtId="44" fontId="3" fillId="21" borderId="71" xfId="5" applyNumberFormat="1" applyFont="1" applyFill="1" applyBorder="1" applyAlignment="1" applyProtection="1">
      <alignment horizontal="center" vertical="center"/>
      <protection locked="0"/>
    </xf>
    <xf numFmtId="42" fontId="3" fillId="21" borderId="18" xfId="5" applyNumberFormat="1" applyFont="1" applyFill="1" applyBorder="1" applyAlignment="1" applyProtection="1">
      <alignment horizontal="center" vertical="center"/>
      <protection locked="0"/>
    </xf>
    <xf numFmtId="0" fontId="3" fillId="21" borderId="15" xfId="4" applyFont="1" applyFill="1" applyBorder="1" applyAlignment="1" applyProtection="1">
      <alignment horizontal="left" vertical="center" wrapText="1" indent="4"/>
    </xf>
    <xf numFmtId="42" fontId="3" fillId="21" borderId="18" xfId="5" applyNumberFormat="1" applyFont="1" applyFill="1" applyBorder="1" applyAlignment="1" applyProtection="1">
      <alignment horizontal="center" vertical="center"/>
    </xf>
    <xf numFmtId="0" fontId="15" fillId="21" borderId="15" xfId="4" applyFont="1" applyFill="1" applyBorder="1" applyAlignment="1" applyProtection="1">
      <alignment horizontal="left" vertical="center" wrapText="1" indent="3"/>
    </xf>
    <xf numFmtId="0" fontId="16" fillId="21" borderId="15" xfId="4" applyFont="1" applyFill="1" applyBorder="1" applyAlignment="1" applyProtection="1">
      <alignment horizontal="left" vertical="center" wrapText="1" indent="4"/>
    </xf>
    <xf numFmtId="0" fontId="16" fillId="0" borderId="11" xfId="6" applyFont="1" applyFill="1" applyBorder="1" applyAlignment="1" applyProtection="1">
      <alignment horizontal="center" vertical="center"/>
    </xf>
    <xf numFmtId="0" fontId="16" fillId="0" borderId="15" xfId="4" applyFont="1" applyFill="1" applyBorder="1" applyAlignment="1" applyProtection="1">
      <alignment horizontal="left" vertical="center" wrapText="1" indent="4"/>
    </xf>
    <xf numFmtId="42" fontId="3" fillId="0" borderId="18" xfId="5" applyNumberFormat="1" applyFont="1" applyFill="1" applyBorder="1" applyAlignment="1" applyProtection="1">
      <alignment horizontal="center" vertical="center"/>
    </xf>
    <xf numFmtId="0" fontId="9" fillId="21" borderId="11" xfId="6" applyFont="1" applyFill="1" applyBorder="1" applyAlignment="1" applyProtection="1">
      <alignment horizontal="center" vertical="center"/>
    </xf>
    <xf numFmtId="0" fontId="16" fillId="21" borderId="11" xfId="3" applyFont="1" applyFill="1" applyBorder="1" applyAlignment="1" applyProtection="1">
      <alignment horizontal="center" vertical="center"/>
    </xf>
    <xf numFmtId="0" fontId="12" fillId="21" borderId="11" xfId="4" applyFont="1" applyFill="1" applyBorder="1" applyAlignment="1" applyProtection="1">
      <alignment horizontal="left" vertical="center" wrapText="1" indent="3"/>
    </xf>
    <xf numFmtId="175" fontId="3" fillId="21" borderId="34" xfId="5" applyNumberFormat="1" applyFont="1" applyFill="1" applyBorder="1" applyAlignment="1" applyProtection="1">
      <alignment horizontal="center" vertical="center"/>
    </xf>
    <xf numFmtId="175" fontId="3" fillId="21" borderId="13" xfId="5" applyNumberFormat="1" applyFont="1" applyFill="1" applyBorder="1" applyAlignment="1" applyProtection="1">
      <alignment horizontal="center" vertical="center"/>
    </xf>
    <xf numFmtId="0" fontId="16" fillId="21" borderId="15" xfId="4" applyFont="1" applyFill="1" applyBorder="1" applyAlignment="1">
      <alignment horizontal="left" vertical="center" wrapText="1" indent="4"/>
    </xf>
    <xf numFmtId="42" fontId="3" fillId="21" borderId="34" xfId="5" applyNumberFormat="1" applyFont="1" applyFill="1" applyBorder="1" applyAlignment="1" applyProtection="1">
      <alignment vertical="center"/>
      <protection locked="0"/>
    </xf>
    <xf numFmtId="42" fontId="3" fillId="21" borderId="13" xfId="5" applyNumberFormat="1" applyFont="1" applyFill="1" applyBorder="1" applyAlignment="1" applyProtection="1">
      <alignment vertical="center"/>
      <protection locked="0"/>
    </xf>
    <xf numFmtId="0" fontId="10" fillId="21" borderId="11" xfId="4" applyFont="1" applyFill="1" applyBorder="1" applyAlignment="1" applyProtection="1">
      <alignment horizontal="left" vertical="center" wrapText="1" indent="2"/>
    </xf>
    <xf numFmtId="175" fontId="4" fillId="21" borderId="34" xfId="5" applyNumberFormat="1" applyFont="1" applyFill="1" applyBorder="1" applyAlignment="1" applyProtection="1">
      <alignment horizontal="center" vertical="center"/>
    </xf>
    <xf numFmtId="0" fontId="6" fillId="21" borderId="11" xfId="3" applyFont="1" applyFill="1" applyBorder="1" applyAlignment="1" applyProtection="1">
      <alignment horizontal="center" vertical="center"/>
    </xf>
    <xf numFmtId="0" fontId="14" fillId="21" borderId="6" xfId="4" applyFont="1" applyFill="1" applyBorder="1" applyAlignment="1" applyProtection="1">
      <alignment horizontal="left" vertical="center" wrapText="1" indent="2"/>
    </xf>
    <xf numFmtId="44" fontId="6" fillId="21" borderId="43" xfId="5" applyFont="1" applyFill="1" applyBorder="1" applyAlignment="1" applyProtection="1">
      <alignment horizontal="center" vertical="center" wrapText="1"/>
    </xf>
    <xf numFmtId="44" fontId="6" fillId="21" borderId="13" xfId="5" applyFont="1" applyFill="1" applyBorder="1" applyAlignment="1" applyProtection="1">
      <alignment horizontal="center" vertical="center" wrapText="1"/>
    </xf>
    <xf numFmtId="44" fontId="16" fillId="21" borderId="71" xfId="5" applyFont="1" applyFill="1" applyBorder="1" applyAlignment="1" applyProtection="1">
      <alignment horizontal="center" vertical="center" wrapText="1"/>
    </xf>
    <xf numFmtId="44" fontId="16" fillId="21" borderId="20" xfId="5" applyFont="1" applyFill="1" applyBorder="1" applyAlignment="1" applyProtection="1">
      <alignment horizontal="center" vertical="center" wrapText="1"/>
    </xf>
    <xf numFmtId="0" fontId="16" fillId="21" borderId="11" xfId="2" applyFont="1" applyFill="1" applyBorder="1" applyAlignment="1">
      <alignment horizontal="left" vertical="center" wrapText="1" indent="1"/>
    </xf>
    <xf numFmtId="42" fontId="3" fillId="21" borderId="57" xfId="75" applyNumberFormat="1" applyFont="1" applyFill="1" applyBorder="1" applyAlignment="1">
      <alignment horizontal="center" vertical="center"/>
    </xf>
    <xf numFmtId="0" fontId="3" fillId="21" borderId="58" xfId="75" applyNumberFormat="1" applyFont="1" applyFill="1" applyBorder="1" applyAlignment="1">
      <alignment horizontal="center" vertical="center"/>
    </xf>
    <xf numFmtId="42" fontId="4" fillId="3" borderId="4" xfId="2" applyNumberFormat="1" applyFont="1" applyFill="1" applyBorder="1" applyAlignment="1" applyProtection="1">
      <alignment horizontal="center" vertical="center" wrapText="1"/>
      <protection locked="0"/>
    </xf>
    <xf numFmtId="42" fontId="4" fillId="3" borderId="6" xfId="2" applyNumberFormat="1" applyFont="1" applyFill="1" applyBorder="1" applyAlignment="1" applyProtection="1">
      <alignment horizontal="center" vertical="center" wrapText="1"/>
      <protection locked="0"/>
    </xf>
    <xf numFmtId="0" fontId="6" fillId="5" borderId="50" xfId="2" applyFont="1" applyFill="1" applyBorder="1" applyAlignment="1">
      <alignment horizontal="center" vertical="center" wrapText="1"/>
    </xf>
    <xf numFmtId="0" fontId="6" fillId="5" borderId="51" xfId="2" applyFont="1" applyFill="1" applyBorder="1" applyAlignment="1">
      <alignment horizontal="center" vertical="center" wrapText="1"/>
    </xf>
    <xf numFmtId="0" fontId="6" fillId="5" borderId="52" xfId="2" applyFont="1" applyFill="1" applyBorder="1" applyAlignment="1">
      <alignment horizontal="center" vertical="center" wrapText="1"/>
    </xf>
    <xf numFmtId="0" fontId="6" fillId="5" borderId="33" xfId="2" applyFont="1" applyFill="1" applyBorder="1" applyAlignment="1">
      <alignment horizontal="center" vertical="center" wrapText="1"/>
    </xf>
    <xf numFmtId="0" fontId="6" fillId="5" borderId="68" xfId="2" applyFont="1" applyFill="1" applyBorder="1" applyAlignment="1">
      <alignment horizontal="center" vertical="center" wrapText="1"/>
    </xf>
    <xf numFmtId="0" fontId="6" fillId="5" borderId="73" xfId="2" applyFont="1" applyFill="1" applyBorder="1" applyAlignment="1">
      <alignment horizontal="center" vertical="center" wrapText="1"/>
    </xf>
    <xf numFmtId="0" fontId="6" fillId="19" borderId="51" xfId="2" applyFont="1" applyFill="1" applyBorder="1" applyAlignment="1">
      <alignment horizontal="left" vertical="center" indent="1"/>
    </xf>
    <xf numFmtId="0" fontId="6" fillId="19" borderId="73" xfId="2" applyFont="1" applyFill="1" applyBorder="1" applyAlignment="1">
      <alignment horizontal="left" vertical="center" indent="1"/>
    </xf>
    <xf numFmtId="0" fontId="6" fillId="19" borderId="7" xfId="2" applyFont="1" applyFill="1" applyBorder="1" applyAlignment="1">
      <alignment horizontal="center" vertical="center" wrapText="1"/>
    </xf>
    <xf numFmtId="0" fontId="6" fillId="19" borderId="45" xfId="2" applyFont="1" applyFill="1" applyBorder="1" applyAlignment="1">
      <alignment horizontal="center" vertical="center" wrapText="1"/>
    </xf>
    <xf numFmtId="175" fontId="16" fillId="4" borderId="29" xfId="4" applyNumberFormat="1" applyFont="1" applyFill="1" applyBorder="1" applyAlignment="1" applyProtection="1">
      <alignment horizontal="center" vertical="center" wrapText="1"/>
    </xf>
    <xf numFmtId="175" fontId="16" fillId="4" borderId="27" xfId="4" applyNumberFormat="1" applyFont="1" applyFill="1" applyBorder="1" applyAlignment="1" applyProtection="1">
      <alignment horizontal="center" vertical="center" wrapText="1"/>
    </xf>
    <xf numFmtId="175" fontId="16" fillId="4" borderId="88" xfId="4" applyNumberFormat="1" applyFont="1" applyFill="1" applyBorder="1" applyAlignment="1" applyProtection="1">
      <alignment horizontal="center" vertical="center" wrapText="1"/>
    </xf>
    <xf numFmtId="175" fontId="16" fillId="4" borderId="17" xfId="4" applyNumberFormat="1" applyFont="1" applyFill="1" applyBorder="1" applyAlignment="1" applyProtection="1">
      <alignment horizontal="center" vertical="center" wrapText="1"/>
    </xf>
    <xf numFmtId="175" fontId="16" fillId="4" borderId="0" xfId="4" applyNumberFormat="1" applyFont="1" applyFill="1" applyBorder="1" applyAlignment="1" applyProtection="1">
      <alignment horizontal="center" vertical="center" wrapText="1"/>
    </xf>
    <xf numFmtId="175" fontId="16" fillId="4" borderId="33" xfId="4" applyNumberFormat="1" applyFont="1" applyFill="1" applyBorder="1" applyAlignment="1" applyProtection="1">
      <alignment horizontal="center" vertical="center" wrapText="1"/>
    </xf>
    <xf numFmtId="175" fontId="16" fillId="4" borderId="94" xfId="4" applyNumberFormat="1" applyFont="1" applyFill="1" applyBorder="1" applyAlignment="1" applyProtection="1">
      <alignment horizontal="center" vertical="center" wrapText="1"/>
    </xf>
    <xf numFmtId="175" fontId="16" fillId="4" borderId="12" xfId="4" applyNumberFormat="1" applyFont="1" applyFill="1" applyBorder="1" applyAlignment="1" applyProtection="1">
      <alignment horizontal="center" vertical="center" wrapText="1"/>
    </xf>
    <xf numFmtId="175" fontId="16" fillId="4" borderId="66" xfId="4" applyNumberFormat="1" applyFont="1" applyFill="1" applyBorder="1" applyAlignment="1" applyProtection="1">
      <alignment horizontal="center" vertical="center" wrapText="1"/>
    </xf>
    <xf numFmtId="42" fontId="3" fillId="4" borderId="19" xfId="5" applyNumberFormat="1" applyFont="1" applyFill="1" applyBorder="1" applyAlignment="1" applyProtection="1">
      <alignment horizontal="center" vertical="center"/>
      <protection locked="0"/>
    </xf>
    <xf numFmtId="42" fontId="3" fillId="4" borderId="16" xfId="5" applyNumberFormat="1" applyFont="1" applyFill="1" applyBorder="1" applyAlignment="1" applyProtection="1">
      <alignment horizontal="center" vertical="center"/>
      <protection locked="0"/>
    </xf>
    <xf numFmtId="42" fontId="3" fillId="4" borderId="14" xfId="5" applyNumberFormat="1" applyFont="1" applyFill="1" applyBorder="1" applyAlignment="1" applyProtection="1">
      <alignment horizontal="center" vertical="center"/>
      <protection locked="0"/>
    </xf>
    <xf numFmtId="42" fontId="3" fillId="4" borderId="19" xfId="2" applyNumberFormat="1" applyFont="1" applyFill="1" applyBorder="1" applyAlignment="1" applyProtection="1">
      <alignment horizontal="center" vertical="center"/>
    </xf>
    <xf numFmtId="42" fontId="3" fillId="4" borderId="16" xfId="2" applyNumberFormat="1" applyFont="1" applyFill="1" applyBorder="1" applyAlignment="1" applyProtection="1">
      <alignment horizontal="center" vertical="center"/>
    </xf>
    <xf numFmtId="42" fontId="3" fillId="4" borderId="14" xfId="2" applyNumberFormat="1" applyFont="1" applyFill="1" applyBorder="1" applyAlignment="1" applyProtection="1">
      <alignment horizontal="center" vertical="center"/>
    </xf>
    <xf numFmtId="175" fontId="3" fillId="7" borderId="26" xfId="5" applyNumberFormat="1" applyFont="1" applyFill="1" applyBorder="1" applyAlignment="1" applyProtection="1">
      <alignment horizontal="center" vertical="center"/>
    </xf>
    <xf numFmtId="175" fontId="3" fillId="7" borderId="6" xfId="5" applyNumberFormat="1" applyFont="1" applyFill="1" applyBorder="1" applyAlignment="1" applyProtection="1">
      <alignment horizontal="center" vertical="center"/>
    </xf>
    <xf numFmtId="0" fontId="6" fillId="5" borderId="4" xfId="2" applyFont="1" applyFill="1" applyBorder="1" applyAlignment="1">
      <alignment horizontal="center" vertical="center" wrapText="1"/>
    </xf>
    <xf numFmtId="0" fontId="6" fillId="5" borderId="6" xfId="2" applyFont="1" applyFill="1" applyBorder="1" applyAlignment="1">
      <alignment horizontal="center" vertical="center" wrapText="1"/>
    </xf>
    <xf numFmtId="0" fontId="6" fillId="5" borderId="31" xfId="2" applyFont="1" applyFill="1" applyBorder="1" applyAlignment="1">
      <alignment horizontal="center" vertical="center" wrapText="1"/>
    </xf>
    <xf numFmtId="0" fontId="6" fillId="19" borderId="4" xfId="2" applyFont="1" applyFill="1" applyBorder="1" applyAlignment="1">
      <alignment horizontal="left" vertical="center" indent="1"/>
    </xf>
    <xf numFmtId="0" fontId="6" fillId="19" borderId="31" xfId="2" applyFont="1" applyFill="1" applyBorder="1" applyAlignment="1">
      <alignment horizontal="left" vertical="center" indent="1"/>
    </xf>
    <xf numFmtId="0" fontId="16" fillId="2" borderId="41" xfId="2" applyFont="1" applyFill="1" applyBorder="1" applyAlignment="1">
      <alignment horizontal="left" vertical="center" wrapText="1" indent="1"/>
    </xf>
    <xf numFmtId="0" fontId="16" fillId="2" borderId="40" xfId="2" applyFont="1" applyFill="1" applyBorder="1" applyAlignment="1">
      <alignment horizontal="left" vertical="center" wrapText="1" indent="1"/>
    </xf>
    <xf numFmtId="41" fontId="3" fillId="2" borderId="22" xfId="75" applyNumberFormat="1" applyFont="1" applyFill="1" applyBorder="1" applyAlignment="1">
      <alignment horizontal="center" vertical="center"/>
    </xf>
    <xf numFmtId="41" fontId="3" fillId="2" borderId="23" xfId="75" applyNumberFormat="1" applyFont="1" applyFill="1" applyBorder="1" applyAlignment="1">
      <alignment horizontal="center" vertical="center"/>
    </xf>
    <xf numFmtId="0" fontId="6" fillId="19" borderId="7" xfId="2" applyFont="1" applyFill="1" applyBorder="1" applyAlignment="1">
      <alignment horizontal="center" vertical="center"/>
    </xf>
    <xf numFmtId="0" fontId="6" fillId="19" borderId="45" xfId="2" applyFont="1" applyFill="1" applyBorder="1" applyAlignment="1">
      <alignment horizontal="center" vertical="center"/>
    </xf>
    <xf numFmtId="0" fontId="16" fillId="2" borderId="48" xfId="2" applyFont="1" applyFill="1" applyBorder="1" applyAlignment="1">
      <alignment horizontal="left" vertical="center" wrapText="1" indent="1"/>
    </xf>
    <xf numFmtId="0" fontId="16" fillId="2" borderId="46" xfId="2" applyFont="1" applyFill="1" applyBorder="1" applyAlignment="1">
      <alignment horizontal="left" vertical="center" wrapText="1" indent="1"/>
    </xf>
    <xf numFmtId="0" fontId="4" fillId="19" borderId="48" xfId="0" applyFont="1" applyFill="1" applyBorder="1" applyAlignment="1">
      <alignment horizontal="left" vertical="center" indent="1"/>
    </xf>
    <xf numFmtId="0" fontId="4" fillId="19" borderId="46" xfId="0" applyFont="1" applyFill="1" applyBorder="1" applyAlignment="1">
      <alignment horizontal="left" vertical="center" indent="1"/>
    </xf>
    <xf numFmtId="0" fontId="4" fillId="19" borderId="69" xfId="0" applyFont="1" applyFill="1" applyBorder="1" applyAlignment="1">
      <alignment horizontal="center" vertical="center"/>
    </xf>
    <xf numFmtId="0" fontId="4" fillId="19" borderId="25" xfId="0" applyFont="1" applyFill="1" applyBorder="1" applyAlignment="1">
      <alignment horizontal="center" vertical="center"/>
    </xf>
    <xf numFmtId="0" fontId="16" fillId="2" borderId="9" xfId="2" applyFont="1" applyFill="1" applyBorder="1" applyAlignment="1">
      <alignment horizontal="left" vertical="center" wrapText="1" indent="1"/>
    </xf>
    <xf numFmtId="0" fontId="16" fillId="2" borderId="10" xfId="2" applyFont="1" applyFill="1" applyBorder="1" applyAlignment="1">
      <alignment horizontal="left" vertical="center" wrapText="1" indent="1"/>
    </xf>
    <xf numFmtId="41" fontId="3" fillId="2" borderId="18" xfId="75" applyNumberFormat="1" applyFont="1" applyFill="1" applyBorder="1" applyAlignment="1">
      <alignment horizontal="center" vertical="center"/>
    </xf>
    <xf numFmtId="41" fontId="3" fillId="2" borderId="20" xfId="75" applyNumberFormat="1" applyFont="1" applyFill="1" applyBorder="1" applyAlignment="1">
      <alignment horizontal="center" vertical="center"/>
    </xf>
    <xf numFmtId="0" fontId="16" fillId="2" borderId="71" xfId="2" applyFont="1" applyFill="1" applyBorder="1" applyAlignment="1">
      <alignment horizontal="left" vertical="center" wrapText="1" indent="1"/>
    </xf>
    <xf numFmtId="0" fontId="16" fillId="2" borderId="14" xfId="2" applyFont="1" applyFill="1" applyBorder="1" applyAlignment="1">
      <alignment horizontal="left" vertical="center" wrapText="1" indent="1"/>
    </xf>
    <xf numFmtId="0" fontId="16" fillId="2" borderId="49" xfId="2" applyFont="1" applyFill="1" applyBorder="1" applyAlignment="1">
      <alignment horizontal="left" vertical="center" wrapText="1" indent="1"/>
    </xf>
    <xf numFmtId="0" fontId="16" fillId="2" borderId="47" xfId="2" applyFont="1" applyFill="1" applyBorder="1" applyAlignment="1">
      <alignment horizontal="left" vertical="center" wrapText="1" indent="1"/>
    </xf>
    <xf numFmtId="0" fontId="6" fillId="5" borderId="4" xfId="2" applyFont="1" applyFill="1" applyBorder="1" applyAlignment="1">
      <alignment horizontal="left" vertical="center" wrapText="1" indent="1"/>
    </xf>
    <xf numFmtId="0" fontId="6" fillId="5" borderId="6" xfId="2" applyFont="1" applyFill="1" applyBorder="1" applyAlignment="1">
      <alignment horizontal="left" vertical="center" wrapText="1" indent="1"/>
    </xf>
    <xf numFmtId="0" fontId="6" fillId="5" borderId="31" xfId="2" applyFont="1" applyFill="1" applyBorder="1" applyAlignment="1">
      <alignment horizontal="left" vertical="center" wrapText="1" indent="1"/>
    </xf>
    <xf numFmtId="0" fontId="6" fillId="5" borderId="50" xfId="2" applyFont="1" applyFill="1" applyBorder="1" applyAlignment="1">
      <alignment horizontal="center" vertical="center"/>
    </xf>
    <xf numFmtId="0" fontId="6" fillId="5" borderId="51" xfId="2" applyFont="1" applyFill="1" applyBorder="1" applyAlignment="1">
      <alignment horizontal="center" vertical="center"/>
    </xf>
    <xf numFmtId="0" fontId="6" fillId="5" borderId="52" xfId="2" applyFont="1" applyFill="1" applyBorder="1" applyAlignment="1">
      <alignment horizontal="center" vertical="center"/>
    </xf>
    <xf numFmtId="0" fontId="6" fillId="5" borderId="33" xfId="2" applyFont="1" applyFill="1" applyBorder="1" applyAlignment="1">
      <alignment horizontal="center" vertical="center"/>
    </xf>
    <xf numFmtId="0" fontId="6" fillId="5" borderId="68" xfId="2" applyFont="1" applyFill="1" applyBorder="1" applyAlignment="1">
      <alignment horizontal="center" vertical="center"/>
    </xf>
    <xf numFmtId="0" fontId="6" fillId="5" borderId="73" xfId="2" applyFont="1" applyFill="1" applyBorder="1" applyAlignment="1">
      <alignment horizontal="center" vertical="center"/>
    </xf>
    <xf numFmtId="0" fontId="6" fillId="19" borderId="32" xfId="2" applyFont="1" applyFill="1" applyBorder="1" applyAlignment="1">
      <alignment horizontal="center" vertical="center" wrapText="1"/>
    </xf>
    <xf numFmtId="0" fontId="6" fillId="5" borderId="7" xfId="2" applyFont="1" applyFill="1" applyBorder="1" applyAlignment="1">
      <alignment horizontal="center" vertical="center" wrapText="1"/>
    </xf>
    <xf numFmtId="0" fontId="6" fillId="5" borderId="45" xfId="2" applyFont="1" applyFill="1" applyBorder="1" applyAlignment="1">
      <alignment horizontal="center" vertical="center" wrapText="1"/>
    </xf>
    <xf numFmtId="42" fontId="3" fillId="2" borderId="31" xfId="75" applyNumberFormat="1" applyFont="1" applyFill="1" applyBorder="1" applyAlignment="1">
      <alignment horizontal="center" vertical="center"/>
    </xf>
    <xf numFmtId="0" fontId="6" fillId="19" borderId="7" xfId="2" applyFont="1" applyFill="1" applyBorder="1" applyAlignment="1">
      <alignment horizontal="left" vertical="center" indent="1"/>
    </xf>
    <xf numFmtId="0" fontId="6" fillId="19" borderId="32" xfId="2" applyFont="1" applyFill="1" applyBorder="1" applyAlignment="1">
      <alignment horizontal="left" vertical="center" indent="1"/>
    </xf>
    <xf numFmtId="0" fontId="6" fillId="19" borderId="45" xfId="2" applyFont="1" applyFill="1" applyBorder="1" applyAlignment="1">
      <alignment horizontal="left" vertical="center" indent="1"/>
    </xf>
    <xf numFmtId="174" fontId="3" fillId="2" borderId="31" xfId="75" applyNumberFormat="1" applyFont="1" applyFill="1" applyBorder="1" applyAlignment="1">
      <alignment horizontal="center" vertical="center"/>
    </xf>
    <xf numFmtId="174" fontId="3" fillId="2" borderId="59" xfId="75" applyNumberFormat="1" applyFont="1" applyFill="1" applyBorder="1" applyAlignment="1">
      <alignment horizontal="center" vertical="center"/>
    </xf>
    <xf numFmtId="174" fontId="3" fillId="2" borderId="99" xfId="75" applyNumberFormat="1" applyFont="1" applyFill="1" applyBorder="1" applyAlignment="1">
      <alignment horizontal="center" vertical="center"/>
    </xf>
    <xf numFmtId="174" fontId="3" fillId="2" borderId="85" xfId="75" applyNumberFormat="1" applyFont="1" applyFill="1" applyBorder="1" applyAlignment="1">
      <alignment horizontal="center" vertical="center"/>
    </xf>
    <xf numFmtId="42" fontId="3" fillId="2" borderId="59" xfId="75" applyNumberFormat="1" applyFont="1" applyFill="1" applyBorder="1" applyAlignment="1">
      <alignment horizontal="center" vertical="center"/>
    </xf>
    <xf numFmtId="42" fontId="3" fillId="2" borderId="85" xfId="75" applyNumberFormat="1" applyFont="1" applyFill="1" applyBorder="1" applyAlignment="1">
      <alignment horizontal="center" vertical="center"/>
    </xf>
    <xf numFmtId="174" fontId="3" fillId="2" borderId="63" xfId="75" applyNumberFormat="1" applyFont="1" applyFill="1" applyBorder="1" applyAlignment="1">
      <alignment horizontal="center" vertical="center"/>
    </xf>
    <xf numFmtId="174" fontId="3" fillId="2" borderId="86" xfId="75" applyNumberFormat="1" applyFont="1" applyFill="1" applyBorder="1" applyAlignment="1">
      <alignment horizontal="center" vertical="center"/>
    </xf>
    <xf numFmtId="174" fontId="3" fillId="2" borderId="100" xfId="75" applyNumberFormat="1" applyFont="1" applyFill="1" applyBorder="1" applyAlignment="1">
      <alignment horizontal="center" vertical="center"/>
    </xf>
    <xf numFmtId="0" fontId="6" fillId="19" borderId="48" xfId="2" applyFont="1" applyFill="1" applyBorder="1" applyAlignment="1">
      <alignment horizontal="left" vertical="center" wrapText="1" indent="1"/>
    </xf>
    <xf numFmtId="0" fontId="6" fillId="19" borderId="46" xfId="2" applyFont="1" applyFill="1" applyBorder="1" applyAlignment="1">
      <alignment horizontal="left" vertical="center" wrapText="1" indent="1"/>
    </xf>
    <xf numFmtId="174" fontId="3" fillId="2" borderId="55" xfId="75" applyNumberFormat="1" applyFont="1" applyFill="1" applyBorder="1" applyAlignment="1">
      <alignment horizontal="center" vertical="center"/>
    </xf>
    <xf numFmtId="174" fontId="3" fillId="2" borderId="84" xfId="75" applyNumberFormat="1" applyFont="1" applyFill="1" applyBorder="1" applyAlignment="1">
      <alignment horizontal="center" vertical="center"/>
    </xf>
    <xf numFmtId="174" fontId="3" fillId="2" borderId="101" xfId="75" applyNumberFormat="1" applyFont="1" applyFill="1" applyBorder="1" applyAlignment="1">
      <alignment horizontal="center" vertical="center"/>
    </xf>
    <xf numFmtId="0" fontId="4" fillId="19" borderId="95" xfId="0" applyFont="1" applyFill="1" applyBorder="1" applyAlignment="1">
      <alignment horizontal="center" vertical="center" wrapText="1"/>
    </xf>
    <xf numFmtId="0" fontId="4" fillId="19" borderId="46" xfId="0" applyFont="1" applyFill="1" applyBorder="1" applyAlignment="1">
      <alignment horizontal="center" vertical="center" wrapText="1"/>
    </xf>
    <xf numFmtId="41" fontId="3" fillId="2" borderId="19" xfId="0" applyNumberFormat="1" applyFont="1" applyFill="1" applyBorder="1" applyAlignment="1">
      <alignment horizontal="center" vertical="center"/>
    </xf>
    <xf numFmtId="41" fontId="3" fillId="2" borderId="14" xfId="0" applyNumberFormat="1" applyFont="1" applyFill="1" applyBorder="1" applyAlignment="1">
      <alignment horizontal="center" vertical="center"/>
    </xf>
    <xf numFmtId="41" fontId="3" fillId="2" borderId="96" xfId="0" applyNumberFormat="1" applyFont="1" applyFill="1" applyBorder="1" applyAlignment="1">
      <alignment horizontal="center" vertical="center"/>
    </xf>
    <xf numFmtId="41" fontId="3" fillId="2" borderId="47" xfId="0" applyNumberFormat="1" applyFont="1" applyFill="1" applyBorder="1" applyAlignment="1">
      <alignment horizontal="center" vertical="center"/>
    </xf>
    <xf numFmtId="174" fontId="3" fillId="2" borderId="7" xfId="75" applyNumberFormat="1" applyFont="1" applyFill="1" applyBorder="1" applyAlignment="1">
      <alignment horizontal="center" vertical="center"/>
    </xf>
    <xf numFmtId="174" fontId="3" fillId="2" borderId="45" xfId="75" applyNumberFormat="1" applyFont="1" applyFill="1" applyBorder="1" applyAlignment="1">
      <alignment horizontal="center" vertical="center"/>
    </xf>
    <xf numFmtId="42" fontId="3" fillId="2" borderId="63" xfId="75" applyNumberFormat="1" applyFont="1" applyFill="1" applyBorder="1" applyAlignment="1">
      <alignment horizontal="center" vertical="center"/>
    </xf>
    <xf numFmtId="42" fontId="3" fillId="2" borderId="86" xfId="75" applyNumberFormat="1" applyFont="1" applyFill="1" applyBorder="1" applyAlignment="1">
      <alignment horizontal="center" vertical="center"/>
    </xf>
    <xf numFmtId="0" fontId="4" fillId="5" borderId="50" xfId="2" applyFont="1" applyFill="1" applyBorder="1" applyAlignment="1" applyProtection="1">
      <alignment horizontal="center" vertical="center"/>
      <protection locked="0"/>
    </xf>
    <xf numFmtId="0" fontId="4" fillId="5" borderId="68" xfId="2" applyFont="1" applyFill="1" applyBorder="1" applyAlignment="1" applyProtection="1">
      <alignment horizontal="center" vertical="center"/>
      <protection locked="0"/>
    </xf>
    <xf numFmtId="0" fontId="4" fillId="3" borderId="4" xfId="2" applyFont="1" applyFill="1" applyBorder="1" applyAlignment="1" applyProtection="1">
      <alignment horizontal="center" vertical="center" wrapText="1"/>
      <protection locked="0"/>
    </xf>
    <xf numFmtId="0" fontId="4" fillId="3" borderId="6" xfId="2" applyFont="1" applyFill="1" applyBorder="1" applyAlignment="1" applyProtection="1">
      <alignment horizontal="center" vertical="center" wrapText="1"/>
      <protection locked="0"/>
    </xf>
    <xf numFmtId="164" fontId="16" fillId="4" borderId="29" xfId="4" applyNumberFormat="1" applyFont="1" applyFill="1" applyBorder="1" applyAlignment="1" applyProtection="1">
      <alignment horizontal="center" vertical="center" wrapText="1"/>
    </xf>
    <xf numFmtId="164" fontId="16" fillId="4" borderId="27" xfId="4" applyNumberFormat="1" applyFont="1" applyFill="1" applyBorder="1" applyAlignment="1" applyProtection="1">
      <alignment horizontal="center" vertical="center" wrapText="1"/>
    </xf>
    <xf numFmtId="164" fontId="16" fillId="4" borderId="88" xfId="4" applyNumberFormat="1" applyFont="1" applyFill="1" applyBorder="1" applyAlignment="1" applyProtection="1">
      <alignment horizontal="center" vertical="center" wrapText="1"/>
    </xf>
    <xf numFmtId="164" fontId="16" fillId="4" borderId="17" xfId="4" applyNumberFormat="1" applyFont="1" applyFill="1" applyBorder="1" applyAlignment="1" applyProtection="1">
      <alignment horizontal="center" vertical="center" wrapText="1"/>
    </xf>
    <xf numFmtId="164" fontId="16" fillId="4" borderId="0" xfId="4" applyNumberFormat="1" applyFont="1" applyFill="1" applyBorder="1" applyAlignment="1" applyProtection="1">
      <alignment horizontal="center" vertical="center" wrapText="1"/>
    </xf>
    <xf numFmtId="164" fontId="16" fillId="4" borderId="33" xfId="4" applyNumberFormat="1" applyFont="1" applyFill="1" applyBorder="1" applyAlignment="1" applyProtection="1">
      <alignment horizontal="center" vertical="center" wrapText="1"/>
    </xf>
    <xf numFmtId="164" fontId="16" fillId="4" borderId="94" xfId="4" applyNumberFormat="1" applyFont="1" applyFill="1" applyBorder="1" applyAlignment="1" applyProtection="1">
      <alignment horizontal="center" vertical="center" wrapText="1"/>
    </xf>
    <xf numFmtId="164" fontId="16" fillId="4" borderId="12" xfId="4" applyNumberFormat="1" applyFont="1" applyFill="1" applyBorder="1" applyAlignment="1" applyProtection="1">
      <alignment horizontal="center" vertical="center" wrapText="1"/>
    </xf>
    <xf numFmtId="164" fontId="16" fillId="4" borderId="66" xfId="4" applyNumberFormat="1" applyFont="1" applyFill="1" applyBorder="1" applyAlignment="1" applyProtection="1">
      <alignment horizontal="center" vertical="center" wrapText="1"/>
    </xf>
    <xf numFmtId="0" fontId="6" fillId="2" borderId="0" xfId="2" applyFont="1" applyFill="1" applyBorder="1" applyAlignment="1">
      <alignment horizontal="left" vertical="center" wrapText="1" indent="1"/>
    </xf>
    <xf numFmtId="0" fontId="6" fillId="5" borderId="4" xfId="2" applyFont="1" applyFill="1" applyBorder="1" applyAlignment="1">
      <alignment horizontal="center" vertical="center"/>
    </xf>
    <xf numFmtId="0" fontId="6" fillId="5" borderId="6" xfId="2" applyFont="1" applyFill="1" applyBorder="1" applyAlignment="1">
      <alignment horizontal="center" vertical="center"/>
    </xf>
    <xf numFmtId="0" fontId="6" fillId="5" borderId="31" xfId="2" applyFont="1" applyFill="1" applyBorder="1" applyAlignment="1">
      <alignment horizontal="center" vertical="center"/>
    </xf>
    <xf numFmtId="0" fontId="6" fillId="19" borderId="7" xfId="2" applyFont="1" applyFill="1" applyBorder="1" applyAlignment="1">
      <alignment horizontal="left" vertical="center" wrapText="1" indent="1"/>
    </xf>
    <xf numFmtId="0" fontId="6" fillId="19" borderId="32" xfId="2" applyFont="1" applyFill="1" applyBorder="1" applyAlignment="1">
      <alignment horizontal="left" vertical="center" wrapText="1" indent="1"/>
    </xf>
    <xf numFmtId="0" fontId="6" fillId="19" borderId="45" xfId="2" applyFont="1" applyFill="1" applyBorder="1" applyAlignment="1">
      <alignment horizontal="left" vertical="center" wrapText="1" indent="1"/>
    </xf>
    <xf numFmtId="44" fontId="3" fillId="4" borderId="19" xfId="5" applyFont="1" applyFill="1" applyBorder="1" applyAlignment="1" applyProtection="1">
      <alignment horizontal="center" vertical="center"/>
      <protection locked="0"/>
    </xf>
    <xf numFmtId="44" fontId="3" fillId="4" borderId="16" xfId="5" applyFont="1" applyFill="1" applyBorder="1" applyAlignment="1" applyProtection="1">
      <alignment horizontal="center" vertical="center"/>
      <protection locked="0"/>
    </xf>
    <xf numFmtId="44" fontId="3" fillId="4" borderId="14" xfId="5" applyFont="1" applyFill="1" applyBorder="1" applyAlignment="1" applyProtection="1">
      <alignment horizontal="center" vertical="center"/>
      <protection locked="0"/>
    </xf>
    <xf numFmtId="44" fontId="3" fillId="7" borderId="88" xfId="5" applyFont="1" applyFill="1" applyBorder="1" applyAlignment="1" applyProtection="1">
      <alignment horizontal="center" vertical="center"/>
    </xf>
    <xf numFmtId="44" fontId="3" fillId="7" borderId="33" xfId="5" applyFont="1" applyFill="1" applyBorder="1" applyAlignment="1" applyProtection="1">
      <alignment horizontal="center" vertical="center"/>
    </xf>
    <xf numFmtId="0" fontId="6" fillId="19" borderId="44" xfId="2" applyFont="1" applyFill="1" applyBorder="1" applyAlignment="1">
      <alignment horizontal="center" vertical="center" wrapText="1"/>
    </xf>
    <xf numFmtId="0" fontId="6" fillId="19" borderId="37" xfId="2" applyFont="1" applyFill="1" applyBorder="1" applyAlignment="1">
      <alignment horizontal="center" vertical="center" wrapText="1"/>
    </xf>
  </cellXfs>
  <cellStyles count="77">
    <cellStyle name="=C:\WINNT35\SYSTEM32\COMMAND.COM" xfId="7"/>
    <cellStyle name="checkExposure" xfId="8"/>
    <cellStyle name="checkLiq" xfId="9"/>
    <cellStyle name="Estilo 1" xfId="10"/>
    <cellStyle name="greyed" xfId="11"/>
    <cellStyle name="greyed 2" xfId="12"/>
    <cellStyle name="Heading 1" xfId="13"/>
    <cellStyle name="Heading 2" xfId="3"/>
    <cellStyle name="HeadingTable" xfId="14"/>
    <cellStyle name="highlightExposure" xfId="15"/>
    <cellStyle name="highlightPD" xfId="16"/>
    <cellStyle name="highlightPercentage" xfId="17"/>
    <cellStyle name="highlightText" xfId="18"/>
    <cellStyle name="inputDate" xfId="19"/>
    <cellStyle name="inputExposure" xfId="20"/>
    <cellStyle name="inputMaturity" xfId="21"/>
    <cellStyle name="inputParameterE" xfId="22"/>
    <cellStyle name="inputPD" xfId="23"/>
    <cellStyle name="inputPercentage" xfId="24"/>
    <cellStyle name="inputPercentageL" xfId="25"/>
    <cellStyle name="inputPercentageS" xfId="26"/>
    <cellStyle name="inputSelection" xfId="27"/>
    <cellStyle name="inputText" xfId="28"/>
    <cellStyle name="Moeda 2" xfId="5"/>
    <cellStyle name="Normal" xfId="0" builtinId="0"/>
    <cellStyle name="Normal 2" xfId="2"/>
    <cellStyle name="Normal 3" xfId="29"/>
    <cellStyle name="Normal 3 2" xfId="30"/>
    <cellStyle name="Normal 4" xfId="6"/>
    <cellStyle name="Normal 5" xfId="31"/>
    <cellStyle name="Normal 6" xfId="32"/>
    <cellStyle name="Normal 7" xfId="33"/>
    <cellStyle name="Normal 8" xfId="4"/>
    <cellStyle name="Normal 9" xfId="34"/>
    <cellStyle name="optionalExposure" xfId="35"/>
    <cellStyle name="optionalMaturity" xfId="36"/>
    <cellStyle name="optionalPD" xfId="37"/>
    <cellStyle name="optionalPercentage" xfId="38"/>
    <cellStyle name="optionalPercentageL" xfId="39"/>
    <cellStyle name="optionalPercentageS" xfId="40"/>
    <cellStyle name="optionalSelection" xfId="41"/>
    <cellStyle name="optionalText" xfId="42"/>
    <cellStyle name="Porcentagem" xfId="76" builtinId="5"/>
    <cellStyle name="Porcentagem 2" xfId="1"/>
    <cellStyle name="reviseExposure" xfId="43"/>
    <cellStyle name="Separador de milhares 2" xfId="44"/>
    <cellStyle name="Separador de milhares 3" xfId="45"/>
    <cellStyle name="Separador de milhares 3 2" xfId="46"/>
    <cellStyle name="showCheck" xfId="47"/>
    <cellStyle name="showExposure" xfId="48"/>
    <cellStyle name="showParameterE" xfId="49"/>
    <cellStyle name="showParameterS" xfId="50"/>
    <cellStyle name="showPD" xfId="51"/>
    <cellStyle name="showPercentage" xfId="52"/>
    <cellStyle name="showSelection" xfId="53"/>
    <cellStyle name="sup2Date" xfId="54"/>
    <cellStyle name="sup2Int" xfId="55"/>
    <cellStyle name="sup2ParameterE" xfId="56"/>
    <cellStyle name="sup2Percentage" xfId="57"/>
    <cellStyle name="sup2PercentageL" xfId="58"/>
    <cellStyle name="sup2PercentageM" xfId="59"/>
    <cellStyle name="sup2Selection" xfId="60"/>
    <cellStyle name="sup2Text" xfId="61"/>
    <cellStyle name="sup3ParameterE" xfId="62"/>
    <cellStyle name="sup3Percentage" xfId="63"/>
    <cellStyle name="supDate" xfId="64"/>
    <cellStyle name="supFloat" xfId="65"/>
    <cellStyle name="supInt" xfId="66"/>
    <cellStyle name="supParameterE" xfId="67"/>
    <cellStyle name="supParameterS" xfId="68"/>
    <cellStyle name="supPD" xfId="69"/>
    <cellStyle name="supPercentage" xfId="70"/>
    <cellStyle name="supPercentageL" xfId="71"/>
    <cellStyle name="supPercentageM" xfId="72"/>
    <cellStyle name="supSelection" xfId="73"/>
    <cellStyle name="supText" xfId="74"/>
    <cellStyle name="Vírgula 2" xfId="75"/>
  </cellStyles>
  <dxfs count="0"/>
  <tableStyles count="0" defaultTableStyle="TableStyleMedium2" defaultPivotStyle="PivotStyleLight16"/>
  <colors>
    <mruColors>
      <color rgb="FF9900FF"/>
      <color rgb="FF9966FF"/>
      <color rgb="FF9933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2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3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3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3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3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3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4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5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6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6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6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6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6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7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8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9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9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9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0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1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2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3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4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5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6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157444</xdr:rowOff>
    </xdr:to>
    <xdr:sp macro="" textlink="">
      <xdr:nvSpPr>
        <xdr:cNvPr id="16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6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7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8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9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9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9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104775</xdr:colOff>
      <xdr:row>23</xdr:row>
      <xdr:rowOff>157443</xdr:rowOff>
    </xdr:to>
    <xdr:sp macro="" textlink="">
      <xdr:nvSpPr>
        <xdr:cNvPr id="19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2</xdr:col>
      <xdr:colOff>705969</xdr:colOff>
      <xdr:row>23</xdr:row>
      <xdr:rowOff>0</xdr:rowOff>
    </xdr:from>
    <xdr:ext cx="104775" cy="157444"/>
    <xdr:sp macro="" textlink="">
      <xdr:nvSpPr>
        <xdr:cNvPr id="194" name="Text Box 3261"/>
        <xdr:cNvSpPr txBox="1">
          <a:spLocks noChangeArrowheads="1"/>
        </xdr:cNvSpPr>
      </xdr:nvSpPr>
      <xdr:spPr bwMode="auto">
        <a:xfrm>
          <a:off x="1725144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773205</xdr:colOff>
      <xdr:row>23</xdr:row>
      <xdr:rowOff>0</xdr:rowOff>
    </xdr:from>
    <xdr:ext cx="104775" cy="157444"/>
    <xdr:sp macro="" textlink="">
      <xdr:nvSpPr>
        <xdr:cNvPr id="195" name="Text Box 3263"/>
        <xdr:cNvSpPr txBox="1">
          <a:spLocks noChangeArrowheads="1"/>
        </xdr:cNvSpPr>
      </xdr:nvSpPr>
      <xdr:spPr bwMode="auto">
        <a:xfrm>
          <a:off x="1792380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19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19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19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19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0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1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2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2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2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2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2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3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4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5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5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5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5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5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6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2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3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4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5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6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7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8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79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28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8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8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29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4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5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6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7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8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09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0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1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1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0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1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2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3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4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5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6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7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8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29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0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1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2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3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4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5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6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7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8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39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0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1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2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3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4" name="Text Box 3261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5" name="Text Box 3262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6" name="Text Box 3263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7" name="Text Box 3264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8" name="Text Box 3265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49" name="Text Box 3266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50" name="Text Box 3267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4"/>
    <xdr:sp macro="" textlink="">
      <xdr:nvSpPr>
        <xdr:cNvPr id="351" name="Text Box 3268"/>
        <xdr:cNvSpPr txBox="1">
          <a:spLocks noChangeArrowheads="1"/>
        </xdr:cNvSpPr>
      </xdr:nvSpPr>
      <xdr:spPr bwMode="auto">
        <a:xfrm>
          <a:off x="1990725" y="104870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2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3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4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5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6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7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8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59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0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1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2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3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4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5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6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7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8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69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0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1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2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3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4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5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6" name="Text Box 3261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7" name="Text Box 3262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8" name="Text Box 3263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79" name="Text Box 3264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80" name="Text Box 3265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81" name="Text Box 3266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82" name="Text Box 3267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23</xdr:row>
      <xdr:rowOff>0</xdr:rowOff>
    </xdr:from>
    <xdr:ext cx="104775" cy="157443"/>
    <xdr:sp macro="" textlink="">
      <xdr:nvSpPr>
        <xdr:cNvPr id="383" name="Text Box 3268"/>
        <xdr:cNvSpPr txBox="1">
          <a:spLocks noChangeArrowheads="1"/>
        </xdr:cNvSpPr>
      </xdr:nvSpPr>
      <xdr:spPr bwMode="auto">
        <a:xfrm>
          <a:off x="1990725" y="104870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4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5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6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7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8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89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0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1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39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0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1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2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3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4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5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6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7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0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1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16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17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18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19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0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1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2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3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2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2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3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4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5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6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7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8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39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4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4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4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6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7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8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59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0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1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2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3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4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5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6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7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8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69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0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1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47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8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89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0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1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2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3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4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5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6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7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8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499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0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1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2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3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0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1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1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2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3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4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5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6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7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8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19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0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1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2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3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4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5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6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7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8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29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0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1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2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3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4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5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6" name="Text Box 3261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7" name="Text Box 3262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8" name="Text Box 3263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39" name="Text Box 3264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40" name="Text Box 3265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41" name="Text Box 3266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42" name="Text Box 3267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157444</xdr:rowOff>
    </xdr:to>
    <xdr:sp macro="" textlink="">
      <xdr:nvSpPr>
        <xdr:cNvPr id="543" name="Text Box 3268"/>
        <xdr:cNvSpPr txBox="1">
          <a:spLocks noChangeArrowheads="1"/>
        </xdr:cNvSpPr>
      </xdr:nvSpPr>
      <xdr:spPr bwMode="auto">
        <a:xfrm>
          <a:off x="1714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4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5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6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7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8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49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0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1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2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3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4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5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6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7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8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59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0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1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2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3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4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5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6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7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8" name="Text Box 3261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69" name="Text Box 3262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0" name="Text Box 3263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1" name="Text Box 3264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2" name="Text Box 3265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3" name="Text Box 3266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4" name="Text Box 3267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104775</xdr:colOff>
      <xdr:row>29</xdr:row>
      <xdr:rowOff>157443</xdr:rowOff>
    </xdr:to>
    <xdr:sp macro="" textlink="">
      <xdr:nvSpPr>
        <xdr:cNvPr id="575" name="Text Box 3268"/>
        <xdr:cNvSpPr txBox="1">
          <a:spLocks noChangeArrowheads="1"/>
        </xdr:cNvSpPr>
      </xdr:nvSpPr>
      <xdr:spPr bwMode="auto">
        <a:xfrm>
          <a:off x="1714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76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77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78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79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0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1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2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3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8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2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3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4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5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6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7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8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599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0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08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09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0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1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2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3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4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5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1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4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5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6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7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8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29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0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1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3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8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49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0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1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2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3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4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5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6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7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8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59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0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1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2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3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6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7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67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7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0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1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2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3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4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5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6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7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8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89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0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1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2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3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4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5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69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0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0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0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0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4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5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6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7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8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09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0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1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2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3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4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5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6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7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8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19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0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1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2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3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4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5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6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7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8" name="Text Box 3261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29" name="Text Box 3262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0" name="Text Box 3263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1" name="Text Box 3264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2" name="Text Box 3265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3" name="Text Box 3266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4" name="Text Box 3267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157444</xdr:rowOff>
    </xdr:to>
    <xdr:sp macro="" textlink="">
      <xdr:nvSpPr>
        <xdr:cNvPr id="735" name="Text Box 3268"/>
        <xdr:cNvSpPr txBox="1">
          <a:spLocks noChangeArrowheads="1"/>
        </xdr:cNvSpPr>
      </xdr:nvSpPr>
      <xdr:spPr bwMode="auto">
        <a:xfrm>
          <a:off x="12553950" y="1216342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36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37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38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39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0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1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2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3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4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5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6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7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8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49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0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1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2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3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4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5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6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7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8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59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0" name="Text Box 3261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1" name="Text Box 3262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2" name="Text Box 3263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3" name="Text Box 3264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4" name="Text Box 3265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5" name="Text Box 3266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6" name="Text Box 3267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104775</xdr:colOff>
      <xdr:row>29</xdr:row>
      <xdr:rowOff>157443</xdr:rowOff>
    </xdr:to>
    <xdr:sp macro="" textlink="">
      <xdr:nvSpPr>
        <xdr:cNvPr id="767" name="Text Box 3268"/>
        <xdr:cNvSpPr txBox="1">
          <a:spLocks noChangeArrowheads="1"/>
        </xdr:cNvSpPr>
      </xdr:nvSpPr>
      <xdr:spPr bwMode="auto">
        <a:xfrm>
          <a:off x="12553950" y="1216342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68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69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0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1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2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3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4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5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7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4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5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6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7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8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89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0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1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79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0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1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2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3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4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5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6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7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0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6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7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8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19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0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1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2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3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2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3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3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3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0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1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2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3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4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5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6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7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8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49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0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1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2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3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4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5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5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6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6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6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6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6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2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3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4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5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6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7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8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79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0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1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2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3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4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5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6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7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8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89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96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97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98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899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0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1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2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3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4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5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6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7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8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09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0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1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2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3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4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5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6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7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8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19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0" name="Text Box 3261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1" name="Text Box 3262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2" name="Text Box 3263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3" name="Text Box 3264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4" name="Text Box 3265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5" name="Text Box 3266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6" name="Text Box 3267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4"/>
    <xdr:sp macro="" textlink="">
      <xdr:nvSpPr>
        <xdr:cNvPr id="927" name="Text Box 3268"/>
        <xdr:cNvSpPr txBox="1">
          <a:spLocks noChangeArrowheads="1"/>
        </xdr:cNvSpPr>
      </xdr:nvSpPr>
      <xdr:spPr bwMode="auto">
        <a:xfrm>
          <a:off x="12553950" y="125539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28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29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0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1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2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3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4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5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6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7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8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39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0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1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2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3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4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5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6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7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8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49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0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1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2" name="Text Box 3261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3" name="Text Box 3262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4" name="Text Box 3263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5" name="Text Box 3264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6" name="Text Box 3265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7" name="Text Box 3266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8" name="Text Box 3267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10</xdr:col>
      <xdr:colOff>0</xdr:colOff>
      <xdr:row>29</xdr:row>
      <xdr:rowOff>0</xdr:rowOff>
    </xdr:from>
    <xdr:ext cx="104775" cy="157443"/>
    <xdr:sp macro="" textlink="">
      <xdr:nvSpPr>
        <xdr:cNvPr id="959" name="Text Box 3268"/>
        <xdr:cNvSpPr txBox="1">
          <a:spLocks noChangeArrowheads="1"/>
        </xdr:cNvSpPr>
      </xdr:nvSpPr>
      <xdr:spPr bwMode="auto">
        <a:xfrm>
          <a:off x="12553950" y="125539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4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5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6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8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9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2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3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4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5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4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8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9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0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1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4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0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1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2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3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4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5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6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7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5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6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6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6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6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6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4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5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6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7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8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79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0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1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2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3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4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5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6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7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8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89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9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9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9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6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7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8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09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0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1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2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3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4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5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6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7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8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19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0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1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2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8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39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0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1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2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3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4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5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4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4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5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6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7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8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59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60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61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6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0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1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2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3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4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5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6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7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7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6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7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8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89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90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91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92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193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705969</xdr:colOff>
      <xdr:row>21</xdr:row>
      <xdr:rowOff>0</xdr:rowOff>
    </xdr:from>
    <xdr:ext cx="104775" cy="157444"/>
    <xdr:sp macro="" textlink="">
      <xdr:nvSpPr>
        <xdr:cNvPr id="194" name="Text Box 3261"/>
        <xdr:cNvSpPr txBox="1">
          <a:spLocks noChangeArrowheads="1"/>
        </xdr:cNvSpPr>
      </xdr:nvSpPr>
      <xdr:spPr bwMode="auto">
        <a:xfrm>
          <a:off x="1725144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2</xdr:col>
      <xdr:colOff>773205</xdr:colOff>
      <xdr:row>21</xdr:row>
      <xdr:rowOff>0</xdr:rowOff>
    </xdr:from>
    <xdr:ext cx="104775" cy="157444"/>
    <xdr:sp macro="" textlink="">
      <xdr:nvSpPr>
        <xdr:cNvPr id="195" name="Text Box 3263"/>
        <xdr:cNvSpPr txBox="1">
          <a:spLocks noChangeArrowheads="1"/>
        </xdr:cNvSpPr>
      </xdr:nvSpPr>
      <xdr:spPr bwMode="auto">
        <a:xfrm>
          <a:off x="1792380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96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97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98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199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8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09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0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1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2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3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4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5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1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2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2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2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2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4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5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6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7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8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29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0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1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3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0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1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2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3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4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5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6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7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4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5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5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5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5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5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4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5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6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7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8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69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0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1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2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3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4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5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6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7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8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79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28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8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8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6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7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8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299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0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1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2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3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4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5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6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7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8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09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0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1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1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0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1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2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3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4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5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6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7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8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29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0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1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2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3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4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5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6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7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8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39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0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1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2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3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4" name="Text Box 3261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5" name="Text Box 3262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6" name="Text Box 3263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7" name="Text Box 3264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8" name="Text Box 3265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49" name="Text Box 3266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50" name="Text Box 3267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4"/>
    <xdr:sp macro="" textlink="">
      <xdr:nvSpPr>
        <xdr:cNvPr id="351" name="Text Box 3268"/>
        <xdr:cNvSpPr txBox="1">
          <a:spLocks noChangeArrowheads="1"/>
        </xdr:cNvSpPr>
      </xdr:nvSpPr>
      <xdr:spPr bwMode="auto">
        <a:xfrm>
          <a:off x="2066925" y="975360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2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3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4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5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6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7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8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59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0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1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2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3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4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5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6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7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8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69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0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1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2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3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4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5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6" name="Text Box 3261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7" name="Text Box 3262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8" name="Text Box 3263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79" name="Text Box 3264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80" name="Text Box 3265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81" name="Text Box 3266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82" name="Text Box 3267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3</xdr:col>
      <xdr:colOff>0</xdr:colOff>
      <xdr:row>21</xdr:row>
      <xdr:rowOff>0</xdr:rowOff>
    </xdr:from>
    <xdr:ext cx="104775" cy="157443"/>
    <xdr:sp macro="" textlink="">
      <xdr:nvSpPr>
        <xdr:cNvPr id="383" name="Text Box 3268"/>
        <xdr:cNvSpPr txBox="1">
          <a:spLocks noChangeArrowheads="1"/>
        </xdr:cNvSpPr>
      </xdr:nvSpPr>
      <xdr:spPr bwMode="auto">
        <a:xfrm>
          <a:off x="2066925" y="97536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4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5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6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7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8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89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0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1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2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3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4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5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6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7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8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399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0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1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2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3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4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5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6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7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8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09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0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1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2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3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4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15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16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17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18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19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0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1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2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3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4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5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6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7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8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29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0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1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2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3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4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5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6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7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8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39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0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1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2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3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4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5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6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47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48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49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0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1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2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3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4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5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6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7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8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59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0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1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2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3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4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5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6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7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8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69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0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1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2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3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4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5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6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7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8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479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0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1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2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3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4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5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6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7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8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89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0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1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2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3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4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5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6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7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8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499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0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1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2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3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4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5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6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7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8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09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10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11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2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3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4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5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6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7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8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19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0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1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2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3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4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5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6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7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8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29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0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1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2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3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4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5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6" name="Text Box 3261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7" name="Text Box 3262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8" name="Text Box 3263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39" name="Text Box 3264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40" name="Text Box 3265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41" name="Text Box 3266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42" name="Text Box 3267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4"/>
    <xdr:sp macro="" textlink="">
      <xdr:nvSpPr>
        <xdr:cNvPr id="543" name="Text Box 3268"/>
        <xdr:cNvSpPr txBox="1">
          <a:spLocks noChangeArrowheads="1"/>
        </xdr:cNvSpPr>
      </xdr:nvSpPr>
      <xdr:spPr bwMode="auto">
        <a:xfrm>
          <a:off x="238125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4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5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6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7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8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49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0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1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2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3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4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5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6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7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8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59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0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1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2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3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4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5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6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7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8" name="Text Box 3261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69" name="Text Box 3262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0" name="Text Box 3263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1" name="Text Box 3264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2" name="Text Box 3265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3" name="Text Box 3266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4" name="Text Box 3267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22</xdr:row>
      <xdr:rowOff>0</xdr:rowOff>
    </xdr:from>
    <xdr:ext cx="104775" cy="157443"/>
    <xdr:sp macro="" textlink="">
      <xdr:nvSpPr>
        <xdr:cNvPr id="575" name="Text Box 3268"/>
        <xdr:cNvSpPr txBox="1">
          <a:spLocks noChangeArrowheads="1"/>
        </xdr:cNvSpPr>
      </xdr:nvSpPr>
      <xdr:spPr bwMode="auto">
        <a:xfrm>
          <a:off x="238125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76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77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78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79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0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1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2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3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4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5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6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7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8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89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0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1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2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3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4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5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6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7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8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599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0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1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2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3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4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5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6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07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08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09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0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1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2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3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4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5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6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7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8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19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0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1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2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3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4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5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6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7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8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29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0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1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2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3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4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5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6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7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8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39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0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1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2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3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4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5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6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7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8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49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0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1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2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3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4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5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6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7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8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59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0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1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2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3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4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5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6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7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8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69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70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671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2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3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4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5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6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7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8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79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0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1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2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3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4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5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6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7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8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89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0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1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2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3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4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5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6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7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8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699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00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01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02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03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4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5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6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7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8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09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0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1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2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3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4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5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6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7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8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19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0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1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2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3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4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5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6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7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8" name="Text Box 3261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29" name="Text Box 3262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0" name="Text Box 3263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1" name="Text Box 3264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2" name="Text Box 3265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3" name="Text Box 3266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4" name="Text Box 3267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4"/>
    <xdr:sp macro="" textlink="">
      <xdr:nvSpPr>
        <xdr:cNvPr id="735" name="Text Box 3268"/>
        <xdr:cNvSpPr txBox="1">
          <a:spLocks noChangeArrowheads="1"/>
        </xdr:cNvSpPr>
      </xdr:nvSpPr>
      <xdr:spPr bwMode="auto">
        <a:xfrm>
          <a:off x="12706350" y="1015365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36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37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38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39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0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1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2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3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4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5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6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7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8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49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0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1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2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3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4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5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6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7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8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59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0" name="Text Box 3261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1" name="Text Box 3262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2" name="Text Box 3263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3" name="Text Box 3264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4" name="Text Box 3265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5" name="Text Box 3266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6" name="Text Box 3267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22</xdr:row>
      <xdr:rowOff>0</xdr:rowOff>
    </xdr:from>
    <xdr:ext cx="104775" cy="157443"/>
    <xdr:sp macro="" textlink="">
      <xdr:nvSpPr>
        <xdr:cNvPr id="767" name="Text Box 3268"/>
        <xdr:cNvSpPr txBox="1">
          <a:spLocks noChangeArrowheads="1"/>
        </xdr:cNvSpPr>
      </xdr:nvSpPr>
      <xdr:spPr bwMode="auto">
        <a:xfrm>
          <a:off x="12706350" y="1015365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369794</xdr:rowOff>
    </xdr:from>
    <xdr:ext cx="104775" cy="157444"/>
    <xdr:sp macro="" textlink="">
      <xdr:nvSpPr>
        <xdr:cNvPr id="768" name="Text Box 3261"/>
        <xdr:cNvSpPr txBox="1">
          <a:spLocks noChangeArrowheads="1"/>
        </xdr:cNvSpPr>
      </xdr:nvSpPr>
      <xdr:spPr bwMode="auto">
        <a:xfrm>
          <a:off x="12954000" y="1092573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22412</xdr:colOff>
      <xdr:row>24</xdr:row>
      <xdr:rowOff>56030</xdr:rowOff>
    </xdr:from>
    <xdr:ext cx="104775" cy="157444"/>
    <xdr:sp macro="" textlink="">
      <xdr:nvSpPr>
        <xdr:cNvPr id="769" name="Text Box 3262"/>
        <xdr:cNvSpPr txBox="1">
          <a:spLocks noChangeArrowheads="1"/>
        </xdr:cNvSpPr>
      </xdr:nvSpPr>
      <xdr:spPr bwMode="auto">
        <a:xfrm>
          <a:off x="12976412" y="11004177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33618</xdr:colOff>
      <xdr:row>23</xdr:row>
      <xdr:rowOff>358589</xdr:rowOff>
    </xdr:from>
    <xdr:ext cx="104775" cy="157444"/>
    <xdr:sp macro="" textlink="">
      <xdr:nvSpPr>
        <xdr:cNvPr id="772" name="Text Box 3265"/>
        <xdr:cNvSpPr txBox="1">
          <a:spLocks noChangeArrowheads="1"/>
        </xdr:cNvSpPr>
      </xdr:nvSpPr>
      <xdr:spPr bwMode="auto">
        <a:xfrm>
          <a:off x="12987618" y="10914530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4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5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6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7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8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79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0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1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2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3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4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5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6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7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8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89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0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1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2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3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4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5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6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7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8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799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0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1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2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3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4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5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6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7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8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09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0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1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2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3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4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5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6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7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8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19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0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1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2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3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4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5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6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7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8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29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30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31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2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3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4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5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6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7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8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39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0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1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2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3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4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5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6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7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8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49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0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1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2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3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4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5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6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7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8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59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60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61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62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63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4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5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6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7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8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69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0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1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2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3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4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5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6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7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8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79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0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1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2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3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4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5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6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7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8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89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0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1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2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3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4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895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96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97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98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899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0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1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2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3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4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5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6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7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8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09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0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1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2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3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4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5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6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7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8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19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0" name="Text Box 3261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1" name="Text Box 3262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2" name="Text Box 3263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3" name="Text Box 3264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4" name="Text Box 3265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5" name="Text Box 3266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6" name="Text Box 3267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4"/>
    <xdr:sp macro="" textlink="">
      <xdr:nvSpPr>
        <xdr:cNvPr id="927" name="Text Box 3268"/>
        <xdr:cNvSpPr txBox="1">
          <a:spLocks noChangeArrowheads="1"/>
        </xdr:cNvSpPr>
      </xdr:nvSpPr>
      <xdr:spPr bwMode="auto">
        <a:xfrm>
          <a:off x="12706350" y="10544175"/>
          <a:ext cx="104775" cy="1574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28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29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0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1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2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3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4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5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6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7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8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39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0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1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2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3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4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5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6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7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8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49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0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1" name="Text Box 3268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2" name="Text Box 3261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3" name="Text Box 3262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4" name="Text Box 3263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5" name="Text Box 3264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6" name="Text Box 3265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7" name="Text Box 3266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9</xdr:col>
      <xdr:colOff>0</xdr:colOff>
      <xdr:row>23</xdr:row>
      <xdr:rowOff>0</xdr:rowOff>
    </xdr:from>
    <xdr:ext cx="104775" cy="157443"/>
    <xdr:sp macro="" textlink="">
      <xdr:nvSpPr>
        <xdr:cNvPr id="958" name="Text Box 3267"/>
        <xdr:cNvSpPr txBox="1">
          <a:spLocks noChangeArrowheads="1"/>
        </xdr:cNvSpPr>
      </xdr:nvSpPr>
      <xdr:spPr bwMode="auto">
        <a:xfrm>
          <a:off x="12706350" y="1054417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23</xdr:row>
      <xdr:rowOff>358588</xdr:rowOff>
    </xdr:from>
    <xdr:ext cx="104775" cy="157443"/>
    <xdr:sp macro="" textlink="">
      <xdr:nvSpPr>
        <xdr:cNvPr id="959" name="Text Box 3268"/>
        <xdr:cNvSpPr txBox="1">
          <a:spLocks noChangeArrowheads="1"/>
        </xdr:cNvSpPr>
      </xdr:nvSpPr>
      <xdr:spPr bwMode="auto">
        <a:xfrm>
          <a:off x="12897970" y="10914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24</xdr:row>
      <xdr:rowOff>358588</xdr:rowOff>
    </xdr:from>
    <xdr:ext cx="104775" cy="157443"/>
    <xdr:sp macro="" textlink="">
      <xdr:nvSpPr>
        <xdr:cNvPr id="961" name="Text Box 3268"/>
        <xdr:cNvSpPr txBox="1">
          <a:spLocks noChangeArrowheads="1"/>
        </xdr:cNvSpPr>
      </xdr:nvSpPr>
      <xdr:spPr bwMode="auto">
        <a:xfrm>
          <a:off x="12897970" y="10914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25</xdr:row>
      <xdr:rowOff>358588</xdr:rowOff>
    </xdr:from>
    <xdr:ext cx="104775" cy="157443"/>
    <xdr:sp macro="" textlink="">
      <xdr:nvSpPr>
        <xdr:cNvPr id="962" name="Text Box 3268"/>
        <xdr:cNvSpPr txBox="1">
          <a:spLocks noChangeArrowheads="1"/>
        </xdr:cNvSpPr>
      </xdr:nvSpPr>
      <xdr:spPr bwMode="auto">
        <a:xfrm>
          <a:off x="12897970" y="10914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26</xdr:row>
      <xdr:rowOff>358588</xdr:rowOff>
    </xdr:from>
    <xdr:ext cx="104775" cy="157443"/>
    <xdr:sp macro="" textlink="">
      <xdr:nvSpPr>
        <xdr:cNvPr id="963" name="Text Box 3268"/>
        <xdr:cNvSpPr txBox="1">
          <a:spLocks noChangeArrowheads="1"/>
        </xdr:cNvSpPr>
      </xdr:nvSpPr>
      <xdr:spPr bwMode="auto">
        <a:xfrm>
          <a:off x="12897970" y="11306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27</xdr:row>
      <xdr:rowOff>358588</xdr:rowOff>
    </xdr:from>
    <xdr:ext cx="104775" cy="157443"/>
    <xdr:sp macro="" textlink="">
      <xdr:nvSpPr>
        <xdr:cNvPr id="964" name="Text Box 3268"/>
        <xdr:cNvSpPr txBox="1">
          <a:spLocks noChangeArrowheads="1"/>
        </xdr:cNvSpPr>
      </xdr:nvSpPr>
      <xdr:spPr bwMode="auto">
        <a:xfrm>
          <a:off x="12897970" y="10914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28</xdr:row>
      <xdr:rowOff>358588</xdr:rowOff>
    </xdr:from>
    <xdr:ext cx="104775" cy="157443"/>
    <xdr:sp macro="" textlink="">
      <xdr:nvSpPr>
        <xdr:cNvPr id="965" name="Text Box 3268"/>
        <xdr:cNvSpPr txBox="1">
          <a:spLocks noChangeArrowheads="1"/>
        </xdr:cNvSpPr>
      </xdr:nvSpPr>
      <xdr:spPr bwMode="auto">
        <a:xfrm>
          <a:off x="12897970" y="11306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29</xdr:row>
      <xdr:rowOff>358588</xdr:rowOff>
    </xdr:from>
    <xdr:ext cx="104775" cy="157443"/>
    <xdr:sp macro="" textlink="">
      <xdr:nvSpPr>
        <xdr:cNvPr id="966" name="Text Box 3268"/>
        <xdr:cNvSpPr txBox="1">
          <a:spLocks noChangeArrowheads="1"/>
        </xdr:cNvSpPr>
      </xdr:nvSpPr>
      <xdr:spPr bwMode="auto">
        <a:xfrm>
          <a:off x="12897970" y="11698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30</xdr:row>
      <xdr:rowOff>358588</xdr:rowOff>
    </xdr:from>
    <xdr:ext cx="104775" cy="157443"/>
    <xdr:sp macro="" textlink="">
      <xdr:nvSpPr>
        <xdr:cNvPr id="967" name="Text Box 3268"/>
        <xdr:cNvSpPr txBox="1">
          <a:spLocks noChangeArrowheads="1"/>
        </xdr:cNvSpPr>
      </xdr:nvSpPr>
      <xdr:spPr bwMode="auto">
        <a:xfrm>
          <a:off x="12897970" y="12091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31</xdr:row>
      <xdr:rowOff>358588</xdr:rowOff>
    </xdr:from>
    <xdr:ext cx="104775" cy="157443"/>
    <xdr:sp macro="" textlink="">
      <xdr:nvSpPr>
        <xdr:cNvPr id="968" name="Text Box 3268"/>
        <xdr:cNvSpPr txBox="1">
          <a:spLocks noChangeArrowheads="1"/>
        </xdr:cNvSpPr>
      </xdr:nvSpPr>
      <xdr:spPr bwMode="auto">
        <a:xfrm>
          <a:off x="12897970" y="10914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32</xdr:row>
      <xdr:rowOff>358588</xdr:rowOff>
    </xdr:from>
    <xdr:ext cx="104775" cy="157443"/>
    <xdr:sp macro="" textlink="">
      <xdr:nvSpPr>
        <xdr:cNvPr id="969" name="Text Box 3268"/>
        <xdr:cNvSpPr txBox="1">
          <a:spLocks noChangeArrowheads="1"/>
        </xdr:cNvSpPr>
      </xdr:nvSpPr>
      <xdr:spPr bwMode="auto">
        <a:xfrm>
          <a:off x="12897970" y="11306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33</xdr:row>
      <xdr:rowOff>358588</xdr:rowOff>
    </xdr:from>
    <xdr:ext cx="104775" cy="157443"/>
    <xdr:sp macro="" textlink="">
      <xdr:nvSpPr>
        <xdr:cNvPr id="970" name="Text Box 3268"/>
        <xdr:cNvSpPr txBox="1">
          <a:spLocks noChangeArrowheads="1"/>
        </xdr:cNvSpPr>
      </xdr:nvSpPr>
      <xdr:spPr bwMode="auto">
        <a:xfrm>
          <a:off x="12897970" y="11698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34</xdr:row>
      <xdr:rowOff>358588</xdr:rowOff>
    </xdr:from>
    <xdr:ext cx="104775" cy="157443"/>
    <xdr:sp macro="" textlink="">
      <xdr:nvSpPr>
        <xdr:cNvPr id="971" name="Text Box 3268"/>
        <xdr:cNvSpPr txBox="1">
          <a:spLocks noChangeArrowheads="1"/>
        </xdr:cNvSpPr>
      </xdr:nvSpPr>
      <xdr:spPr bwMode="auto">
        <a:xfrm>
          <a:off x="12897970" y="12091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35</xdr:row>
      <xdr:rowOff>358588</xdr:rowOff>
    </xdr:from>
    <xdr:ext cx="104775" cy="157443"/>
    <xdr:sp macro="" textlink="">
      <xdr:nvSpPr>
        <xdr:cNvPr id="972" name="Text Box 3268"/>
        <xdr:cNvSpPr txBox="1">
          <a:spLocks noChangeArrowheads="1"/>
        </xdr:cNvSpPr>
      </xdr:nvSpPr>
      <xdr:spPr bwMode="auto">
        <a:xfrm>
          <a:off x="12897970" y="1446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36</xdr:row>
      <xdr:rowOff>358588</xdr:rowOff>
    </xdr:from>
    <xdr:ext cx="104775" cy="157443"/>
    <xdr:sp macro="" textlink="">
      <xdr:nvSpPr>
        <xdr:cNvPr id="973" name="Text Box 3268"/>
        <xdr:cNvSpPr txBox="1">
          <a:spLocks noChangeArrowheads="1"/>
        </xdr:cNvSpPr>
      </xdr:nvSpPr>
      <xdr:spPr bwMode="auto">
        <a:xfrm>
          <a:off x="12897970" y="1488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57</xdr:row>
      <xdr:rowOff>358588</xdr:rowOff>
    </xdr:from>
    <xdr:ext cx="104775" cy="157443"/>
    <xdr:sp macro="" textlink="">
      <xdr:nvSpPr>
        <xdr:cNvPr id="974" name="Text Box 3268"/>
        <xdr:cNvSpPr txBox="1">
          <a:spLocks noChangeArrowheads="1"/>
        </xdr:cNvSpPr>
      </xdr:nvSpPr>
      <xdr:spPr bwMode="auto">
        <a:xfrm>
          <a:off x="12897970" y="13659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58</xdr:row>
      <xdr:rowOff>358588</xdr:rowOff>
    </xdr:from>
    <xdr:ext cx="104775" cy="157443"/>
    <xdr:sp macro="" textlink="">
      <xdr:nvSpPr>
        <xdr:cNvPr id="975" name="Text Box 3268"/>
        <xdr:cNvSpPr txBox="1">
          <a:spLocks noChangeArrowheads="1"/>
        </xdr:cNvSpPr>
      </xdr:nvSpPr>
      <xdr:spPr bwMode="auto">
        <a:xfrm>
          <a:off x="12897970" y="1405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59</xdr:row>
      <xdr:rowOff>358588</xdr:rowOff>
    </xdr:from>
    <xdr:ext cx="104775" cy="157443"/>
    <xdr:sp macro="" textlink="">
      <xdr:nvSpPr>
        <xdr:cNvPr id="976" name="Text Box 3268"/>
        <xdr:cNvSpPr txBox="1">
          <a:spLocks noChangeArrowheads="1"/>
        </xdr:cNvSpPr>
      </xdr:nvSpPr>
      <xdr:spPr bwMode="auto">
        <a:xfrm>
          <a:off x="12897970" y="1446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60</xdr:row>
      <xdr:rowOff>358588</xdr:rowOff>
    </xdr:from>
    <xdr:ext cx="104775" cy="157443"/>
    <xdr:sp macro="" textlink="">
      <xdr:nvSpPr>
        <xdr:cNvPr id="977" name="Text Box 3268"/>
        <xdr:cNvSpPr txBox="1">
          <a:spLocks noChangeArrowheads="1"/>
        </xdr:cNvSpPr>
      </xdr:nvSpPr>
      <xdr:spPr bwMode="auto">
        <a:xfrm>
          <a:off x="12897970" y="1488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61</xdr:row>
      <xdr:rowOff>358588</xdr:rowOff>
    </xdr:from>
    <xdr:ext cx="104775" cy="157443"/>
    <xdr:sp macro="" textlink="">
      <xdr:nvSpPr>
        <xdr:cNvPr id="978" name="Text Box 3268"/>
        <xdr:cNvSpPr txBox="1">
          <a:spLocks noChangeArrowheads="1"/>
        </xdr:cNvSpPr>
      </xdr:nvSpPr>
      <xdr:spPr bwMode="auto">
        <a:xfrm>
          <a:off x="12897970" y="1529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61</xdr:row>
      <xdr:rowOff>358588</xdr:rowOff>
    </xdr:from>
    <xdr:ext cx="104775" cy="157443"/>
    <xdr:sp macro="" textlink="">
      <xdr:nvSpPr>
        <xdr:cNvPr id="979" name="Text Box 3268"/>
        <xdr:cNvSpPr txBox="1">
          <a:spLocks noChangeArrowheads="1"/>
        </xdr:cNvSpPr>
      </xdr:nvSpPr>
      <xdr:spPr bwMode="auto">
        <a:xfrm>
          <a:off x="12897970" y="24619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62</xdr:row>
      <xdr:rowOff>358588</xdr:rowOff>
    </xdr:from>
    <xdr:ext cx="104775" cy="157443"/>
    <xdr:sp macro="" textlink="">
      <xdr:nvSpPr>
        <xdr:cNvPr id="980" name="Text Box 3268"/>
        <xdr:cNvSpPr txBox="1">
          <a:spLocks noChangeArrowheads="1"/>
        </xdr:cNvSpPr>
      </xdr:nvSpPr>
      <xdr:spPr bwMode="auto">
        <a:xfrm>
          <a:off x="12897970" y="25022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63</xdr:row>
      <xdr:rowOff>358588</xdr:rowOff>
    </xdr:from>
    <xdr:ext cx="104775" cy="157443"/>
    <xdr:sp macro="" textlink="">
      <xdr:nvSpPr>
        <xdr:cNvPr id="981" name="Text Box 3268"/>
        <xdr:cNvSpPr txBox="1">
          <a:spLocks noChangeArrowheads="1"/>
        </xdr:cNvSpPr>
      </xdr:nvSpPr>
      <xdr:spPr bwMode="auto">
        <a:xfrm>
          <a:off x="12897970" y="25414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64</xdr:row>
      <xdr:rowOff>358588</xdr:rowOff>
    </xdr:from>
    <xdr:ext cx="104775" cy="157443"/>
    <xdr:sp macro="" textlink="">
      <xdr:nvSpPr>
        <xdr:cNvPr id="982" name="Text Box 3268"/>
        <xdr:cNvSpPr txBox="1">
          <a:spLocks noChangeArrowheads="1"/>
        </xdr:cNvSpPr>
      </xdr:nvSpPr>
      <xdr:spPr bwMode="auto">
        <a:xfrm>
          <a:off x="12897970" y="2582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64</xdr:row>
      <xdr:rowOff>358588</xdr:rowOff>
    </xdr:from>
    <xdr:ext cx="104775" cy="157443"/>
    <xdr:sp macro="" textlink="">
      <xdr:nvSpPr>
        <xdr:cNvPr id="983" name="Text Box 3268"/>
        <xdr:cNvSpPr txBox="1">
          <a:spLocks noChangeArrowheads="1"/>
        </xdr:cNvSpPr>
      </xdr:nvSpPr>
      <xdr:spPr bwMode="auto">
        <a:xfrm>
          <a:off x="12897970" y="26244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64</xdr:row>
      <xdr:rowOff>358588</xdr:rowOff>
    </xdr:from>
    <xdr:ext cx="104775" cy="157443"/>
    <xdr:sp macro="" textlink="">
      <xdr:nvSpPr>
        <xdr:cNvPr id="984" name="Text Box 3268"/>
        <xdr:cNvSpPr txBox="1">
          <a:spLocks noChangeArrowheads="1"/>
        </xdr:cNvSpPr>
      </xdr:nvSpPr>
      <xdr:spPr bwMode="auto">
        <a:xfrm>
          <a:off x="12897970" y="26244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65</xdr:row>
      <xdr:rowOff>358588</xdr:rowOff>
    </xdr:from>
    <xdr:ext cx="104775" cy="157443"/>
    <xdr:sp macro="" textlink="">
      <xdr:nvSpPr>
        <xdr:cNvPr id="985" name="Text Box 3268"/>
        <xdr:cNvSpPr txBox="1">
          <a:spLocks noChangeArrowheads="1"/>
        </xdr:cNvSpPr>
      </xdr:nvSpPr>
      <xdr:spPr bwMode="auto">
        <a:xfrm>
          <a:off x="12897970" y="26658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66</xdr:row>
      <xdr:rowOff>358588</xdr:rowOff>
    </xdr:from>
    <xdr:ext cx="104775" cy="157443"/>
    <xdr:sp macro="" textlink="">
      <xdr:nvSpPr>
        <xdr:cNvPr id="986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67</xdr:row>
      <xdr:rowOff>358588</xdr:rowOff>
    </xdr:from>
    <xdr:ext cx="104775" cy="157443"/>
    <xdr:sp macro="" textlink="">
      <xdr:nvSpPr>
        <xdr:cNvPr id="987" name="Text Box 3268"/>
        <xdr:cNvSpPr txBox="1">
          <a:spLocks noChangeArrowheads="1"/>
        </xdr:cNvSpPr>
      </xdr:nvSpPr>
      <xdr:spPr bwMode="auto">
        <a:xfrm>
          <a:off x="12897970" y="27644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68</xdr:row>
      <xdr:rowOff>358588</xdr:rowOff>
    </xdr:from>
    <xdr:ext cx="104775" cy="157443"/>
    <xdr:sp macro="" textlink="">
      <xdr:nvSpPr>
        <xdr:cNvPr id="988" name="Text Box 3268"/>
        <xdr:cNvSpPr txBox="1">
          <a:spLocks noChangeArrowheads="1"/>
        </xdr:cNvSpPr>
      </xdr:nvSpPr>
      <xdr:spPr bwMode="auto">
        <a:xfrm>
          <a:off x="12897970" y="27644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68</xdr:row>
      <xdr:rowOff>358588</xdr:rowOff>
    </xdr:from>
    <xdr:ext cx="104775" cy="157443"/>
    <xdr:sp macro="" textlink="">
      <xdr:nvSpPr>
        <xdr:cNvPr id="989" name="Text Box 3268"/>
        <xdr:cNvSpPr txBox="1">
          <a:spLocks noChangeArrowheads="1"/>
        </xdr:cNvSpPr>
      </xdr:nvSpPr>
      <xdr:spPr bwMode="auto">
        <a:xfrm>
          <a:off x="12897970" y="27644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68</xdr:row>
      <xdr:rowOff>358588</xdr:rowOff>
    </xdr:from>
    <xdr:ext cx="104775" cy="157443"/>
    <xdr:sp macro="" textlink="">
      <xdr:nvSpPr>
        <xdr:cNvPr id="990" name="Text Box 3268"/>
        <xdr:cNvSpPr txBox="1">
          <a:spLocks noChangeArrowheads="1"/>
        </xdr:cNvSpPr>
      </xdr:nvSpPr>
      <xdr:spPr bwMode="auto">
        <a:xfrm>
          <a:off x="12897970" y="27644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69</xdr:row>
      <xdr:rowOff>358588</xdr:rowOff>
    </xdr:from>
    <xdr:ext cx="104775" cy="157443"/>
    <xdr:sp macro="" textlink="">
      <xdr:nvSpPr>
        <xdr:cNvPr id="991" name="Text Box 3268"/>
        <xdr:cNvSpPr txBox="1">
          <a:spLocks noChangeArrowheads="1"/>
        </xdr:cNvSpPr>
      </xdr:nvSpPr>
      <xdr:spPr bwMode="auto">
        <a:xfrm>
          <a:off x="12897970" y="2804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70</xdr:row>
      <xdr:rowOff>358588</xdr:rowOff>
    </xdr:from>
    <xdr:ext cx="104775" cy="157443"/>
    <xdr:sp macro="" textlink="">
      <xdr:nvSpPr>
        <xdr:cNvPr id="992" name="Text Box 3268"/>
        <xdr:cNvSpPr txBox="1">
          <a:spLocks noChangeArrowheads="1"/>
        </xdr:cNvSpPr>
      </xdr:nvSpPr>
      <xdr:spPr bwMode="auto">
        <a:xfrm>
          <a:off x="12897970" y="285413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71</xdr:row>
      <xdr:rowOff>358588</xdr:rowOff>
    </xdr:from>
    <xdr:ext cx="104775" cy="157443"/>
    <xdr:sp macro="" textlink="">
      <xdr:nvSpPr>
        <xdr:cNvPr id="993" name="Text Box 3268"/>
        <xdr:cNvSpPr txBox="1">
          <a:spLocks noChangeArrowheads="1"/>
        </xdr:cNvSpPr>
      </xdr:nvSpPr>
      <xdr:spPr bwMode="auto">
        <a:xfrm>
          <a:off x="12897970" y="29034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76</xdr:row>
      <xdr:rowOff>358588</xdr:rowOff>
    </xdr:from>
    <xdr:ext cx="104775" cy="157443"/>
    <xdr:sp macro="" textlink="">
      <xdr:nvSpPr>
        <xdr:cNvPr id="994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77</xdr:row>
      <xdr:rowOff>358588</xdr:rowOff>
    </xdr:from>
    <xdr:ext cx="104775" cy="157443"/>
    <xdr:sp macro="" textlink="">
      <xdr:nvSpPr>
        <xdr:cNvPr id="995" name="Text Box 3268"/>
        <xdr:cNvSpPr txBox="1">
          <a:spLocks noChangeArrowheads="1"/>
        </xdr:cNvSpPr>
      </xdr:nvSpPr>
      <xdr:spPr bwMode="auto">
        <a:xfrm>
          <a:off x="12897970" y="30513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78</xdr:row>
      <xdr:rowOff>358588</xdr:rowOff>
    </xdr:from>
    <xdr:ext cx="104775" cy="157443"/>
    <xdr:sp macro="" textlink="">
      <xdr:nvSpPr>
        <xdr:cNvPr id="996" name="Text Box 3268"/>
        <xdr:cNvSpPr txBox="1">
          <a:spLocks noChangeArrowheads="1"/>
        </xdr:cNvSpPr>
      </xdr:nvSpPr>
      <xdr:spPr bwMode="auto">
        <a:xfrm>
          <a:off x="12897970" y="31006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72</xdr:row>
      <xdr:rowOff>358588</xdr:rowOff>
    </xdr:from>
    <xdr:ext cx="104775" cy="157443"/>
    <xdr:sp macro="" textlink="">
      <xdr:nvSpPr>
        <xdr:cNvPr id="997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73</xdr:row>
      <xdr:rowOff>358588</xdr:rowOff>
    </xdr:from>
    <xdr:ext cx="104775" cy="157443"/>
    <xdr:sp macro="" textlink="">
      <xdr:nvSpPr>
        <xdr:cNvPr id="998" name="Text Box 3268"/>
        <xdr:cNvSpPr txBox="1">
          <a:spLocks noChangeArrowheads="1"/>
        </xdr:cNvSpPr>
      </xdr:nvSpPr>
      <xdr:spPr bwMode="auto">
        <a:xfrm>
          <a:off x="12897970" y="30513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75</xdr:row>
      <xdr:rowOff>336177</xdr:rowOff>
    </xdr:from>
    <xdr:ext cx="104775" cy="157443"/>
    <xdr:sp macro="" textlink="">
      <xdr:nvSpPr>
        <xdr:cNvPr id="999" name="Text Box 3268"/>
        <xdr:cNvSpPr txBox="1">
          <a:spLocks noChangeArrowheads="1"/>
        </xdr:cNvSpPr>
      </xdr:nvSpPr>
      <xdr:spPr bwMode="auto">
        <a:xfrm>
          <a:off x="12897970" y="3279961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74</xdr:row>
      <xdr:rowOff>358588</xdr:rowOff>
    </xdr:from>
    <xdr:ext cx="104775" cy="157443"/>
    <xdr:sp macro="" textlink="">
      <xdr:nvSpPr>
        <xdr:cNvPr id="1000" name="Text Box 3268"/>
        <xdr:cNvSpPr txBox="1">
          <a:spLocks noChangeArrowheads="1"/>
        </xdr:cNvSpPr>
      </xdr:nvSpPr>
      <xdr:spPr bwMode="auto">
        <a:xfrm>
          <a:off x="12897970" y="319703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71</xdr:row>
      <xdr:rowOff>358588</xdr:rowOff>
    </xdr:from>
    <xdr:ext cx="104775" cy="157443"/>
    <xdr:sp macro="" textlink="">
      <xdr:nvSpPr>
        <xdr:cNvPr id="1001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71</xdr:row>
      <xdr:rowOff>358588</xdr:rowOff>
    </xdr:from>
    <xdr:ext cx="104775" cy="157443"/>
    <xdr:sp macro="" textlink="">
      <xdr:nvSpPr>
        <xdr:cNvPr id="1002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71</xdr:row>
      <xdr:rowOff>358588</xdr:rowOff>
    </xdr:from>
    <xdr:ext cx="104775" cy="157443"/>
    <xdr:sp macro="" textlink="">
      <xdr:nvSpPr>
        <xdr:cNvPr id="1003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72</xdr:row>
      <xdr:rowOff>358588</xdr:rowOff>
    </xdr:from>
    <xdr:ext cx="104775" cy="157443"/>
    <xdr:sp macro="" textlink="">
      <xdr:nvSpPr>
        <xdr:cNvPr id="1004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75</xdr:row>
      <xdr:rowOff>358588</xdr:rowOff>
    </xdr:from>
    <xdr:ext cx="104775" cy="157443"/>
    <xdr:sp macro="" textlink="">
      <xdr:nvSpPr>
        <xdr:cNvPr id="1005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75</xdr:row>
      <xdr:rowOff>358588</xdr:rowOff>
    </xdr:from>
    <xdr:ext cx="104775" cy="157443"/>
    <xdr:sp macro="" textlink="">
      <xdr:nvSpPr>
        <xdr:cNvPr id="1006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75</xdr:row>
      <xdr:rowOff>358588</xdr:rowOff>
    </xdr:from>
    <xdr:ext cx="104775" cy="157443"/>
    <xdr:sp macro="" textlink="">
      <xdr:nvSpPr>
        <xdr:cNvPr id="1007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76</xdr:row>
      <xdr:rowOff>358588</xdr:rowOff>
    </xdr:from>
    <xdr:ext cx="104775" cy="157443"/>
    <xdr:sp macro="" textlink="">
      <xdr:nvSpPr>
        <xdr:cNvPr id="1008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78</xdr:row>
      <xdr:rowOff>358588</xdr:rowOff>
    </xdr:from>
    <xdr:ext cx="104775" cy="157443"/>
    <xdr:sp macro="" textlink="">
      <xdr:nvSpPr>
        <xdr:cNvPr id="1009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78</xdr:row>
      <xdr:rowOff>358588</xdr:rowOff>
    </xdr:from>
    <xdr:ext cx="104775" cy="157443"/>
    <xdr:sp macro="" textlink="">
      <xdr:nvSpPr>
        <xdr:cNvPr id="1010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78</xdr:row>
      <xdr:rowOff>358588</xdr:rowOff>
    </xdr:from>
    <xdr:ext cx="104775" cy="157443"/>
    <xdr:sp macro="" textlink="">
      <xdr:nvSpPr>
        <xdr:cNvPr id="1011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79</xdr:row>
      <xdr:rowOff>358588</xdr:rowOff>
    </xdr:from>
    <xdr:ext cx="104775" cy="157443"/>
    <xdr:sp macro="" textlink="">
      <xdr:nvSpPr>
        <xdr:cNvPr id="1012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67</xdr:row>
      <xdr:rowOff>358588</xdr:rowOff>
    </xdr:from>
    <xdr:ext cx="104775" cy="157443"/>
    <xdr:sp macro="" textlink="">
      <xdr:nvSpPr>
        <xdr:cNvPr id="1013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67</xdr:row>
      <xdr:rowOff>358588</xdr:rowOff>
    </xdr:from>
    <xdr:ext cx="104775" cy="157443"/>
    <xdr:sp macro="" textlink="">
      <xdr:nvSpPr>
        <xdr:cNvPr id="1014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67</xdr:row>
      <xdr:rowOff>358588</xdr:rowOff>
    </xdr:from>
    <xdr:ext cx="104775" cy="157443"/>
    <xdr:sp macro="" textlink="">
      <xdr:nvSpPr>
        <xdr:cNvPr id="1015" name="Text Box 3268"/>
        <xdr:cNvSpPr txBox="1">
          <a:spLocks noChangeArrowheads="1"/>
        </xdr:cNvSpPr>
      </xdr:nvSpPr>
      <xdr:spPr bwMode="auto">
        <a:xfrm>
          <a:off x="12897970" y="29527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68</xdr:row>
      <xdr:rowOff>358588</xdr:rowOff>
    </xdr:from>
    <xdr:ext cx="104775" cy="157443"/>
    <xdr:sp macro="" textlink="">
      <xdr:nvSpPr>
        <xdr:cNvPr id="1016" name="Text Box 3268"/>
        <xdr:cNvSpPr txBox="1">
          <a:spLocks noChangeArrowheads="1"/>
        </xdr:cNvSpPr>
      </xdr:nvSpPr>
      <xdr:spPr bwMode="auto">
        <a:xfrm>
          <a:off x="12897970" y="3002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79</xdr:row>
      <xdr:rowOff>358588</xdr:rowOff>
    </xdr:from>
    <xdr:ext cx="104775" cy="157443"/>
    <xdr:sp macro="" textlink="">
      <xdr:nvSpPr>
        <xdr:cNvPr id="1017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80</xdr:row>
      <xdr:rowOff>358588</xdr:rowOff>
    </xdr:from>
    <xdr:ext cx="104775" cy="157443"/>
    <xdr:sp macro="" textlink="">
      <xdr:nvSpPr>
        <xdr:cNvPr id="1018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79</xdr:row>
      <xdr:rowOff>358588</xdr:rowOff>
    </xdr:from>
    <xdr:ext cx="104775" cy="157443"/>
    <xdr:sp macro="" textlink="">
      <xdr:nvSpPr>
        <xdr:cNvPr id="1019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80</xdr:row>
      <xdr:rowOff>358588</xdr:rowOff>
    </xdr:from>
    <xdr:ext cx="104775" cy="157443"/>
    <xdr:sp macro="" textlink="">
      <xdr:nvSpPr>
        <xdr:cNvPr id="1020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81</xdr:row>
      <xdr:rowOff>358588</xdr:rowOff>
    </xdr:from>
    <xdr:ext cx="104775" cy="157443"/>
    <xdr:sp macro="" textlink="">
      <xdr:nvSpPr>
        <xdr:cNvPr id="1021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80</xdr:row>
      <xdr:rowOff>358588</xdr:rowOff>
    </xdr:from>
    <xdr:ext cx="104775" cy="157443"/>
    <xdr:sp macro="" textlink="">
      <xdr:nvSpPr>
        <xdr:cNvPr id="1022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81</xdr:row>
      <xdr:rowOff>358588</xdr:rowOff>
    </xdr:from>
    <xdr:ext cx="104775" cy="157443"/>
    <xdr:sp macro="" textlink="">
      <xdr:nvSpPr>
        <xdr:cNvPr id="1023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82</xdr:row>
      <xdr:rowOff>358588</xdr:rowOff>
    </xdr:from>
    <xdr:ext cx="104775" cy="157443"/>
    <xdr:sp macro="" textlink="">
      <xdr:nvSpPr>
        <xdr:cNvPr id="1024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81</xdr:row>
      <xdr:rowOff>358588</xdr:rowOff>
    </xdr:from>
    <xdr:ext cx="104775" cy="157443"/>
    <xdr:sp macro="" textlink="">
      <xdr:nvSpPr>
        <xdr:cNvPr id="1025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82</xdr:row>
      <xdr:rowOff>358588</xdr:rowOff>
    </xdr:from>
    <xdr:ext cx="104775" cy="157443"/>
    <xdr:sp macro="" textlink="">
      <xdr:nvSpPr>
        <xdr:cNvPr id="1026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83</xdr:row>
      <xdr:rowOff>358588</xdr:rowOff>
    </xdr:from>
    <xdr:ext cx="104775" cy="157443"/>
    <xdr:sp macro="" textlink="">
      <xdr:nvSpPr>
        <xdr:cNvPr id="1027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82</xdr:row>
      <xdr:rowOff>358588</xdr:rowOff>
    </xdr:from>
    <xdr:ext cx="104775" cy="157443"/>
    <xdr:sp macro="" textlink="">
      <xdr:nvSpPr>
        <xdr:cNvPr id="1028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83</xdr:row>
      <xdr:rowOff>358588</xdr:rowOff>
    </xdr:from>
    <xdr:ext cx="104775" cy="157443"/>
    <xdr:sp macro="" textlink="">
      <xdr:nvSpPr>
        <xdr:cNvPr id="1029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84</xdr:row>
      <xdr:rowOff>358588</xdr:rowOff>
    </xdr:from>
    <xdr:ext cx="104775" cy="157443"/>
    <xdr:sp macro="" textlink="">
      <xdr:nvSpPr>
        <xdr:cNvPr id="1030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83</xdr:row>
      <xdr:rowOff>358588</xdr:rowOff>
    </xdr:from>
    <xdr:ext cx="104775" cy="157443"/>
    <xdr:sp macro="" textlink="">
      <xdr:nvSpPr>
        <xdr:cNvPr id="1031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84</xdr:row>
      <xdr:rowOff>358588</xdr:rowOff>
    </xdr:from>
    <xdr:ext cx="104775" cy="157443"/>
    <xdr:sp macro="" textlink="">
      <xdr:nvSpPr>
        <xdr:cNvPr id="1032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85</xdr:row>
      <xdr:rowOff>358588</xdr:rowOff>
    </xdr:from>
    <xdr:ext cx="104775" cy="157443"/>
    <xdr:sp macro="" textlink="">
      <xdr:nvSpPr>
        <xdr:cNvPr id="1033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84</xdr:row>
      <xdr:rowOff>358588</xdr:rowOff>
    </xdr:from>
    <xdr:ext cx="104775" cy="157443"/>
    <xdr:sp macro="" textlink="">
      <xdr:nvSpPr>
        <xdr:cNvPr id="1034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85</xdr:row>
      <xdr:rowOff>358588</xdr:rowOff>
    </xdr:from>
    <xdr:ext cx="104775" cy="157443"/>
    <xdr:sp macro="" textlink="">
      <xdr:nvSpPr>
        <xdr:cNvPr id="1035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86</xdr:row>
      <xdr:rowOff>358588</xdr:rowOff>
    </xdr:from>
    <xdr:ext cx="104775" cy="157443"/>
    <xdr:sp macro="" textlink="">
      <xdr:nvSpPr>
        <xdr:cNvPr id="1036" name="Text Box 3268"/>
        <xdr:cNvSpPr txBox="1">
          <a:spLocks noChangeArrowheads="1"/>
        </xdr:cNvSpPr>
      </xdr:nvSpPr>
      <xdr:spPr bwMode="auto">
        <a:xfrm>
          <a:off x="12897970" y="33785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85</xdr:row>
      <xdr:rowOff>358588</xdr:rowOff>
    </xdr:from>
    <xdr:ext cx="104775" cy="157443"/>
    <xdr:sp macro="" textlink="">
      <xdr:nvSpPr>
        <xdr:cNvPr id="1037" name="Text Box 3268"/>
        <xdr:cNvSpPr txBox="1">
          <a:spLocks noChangeArrowheads="1"/>
        </xdr:cNvSpPr>
      </xdr:nvSpPr>
      <xdr:spPr bwMode="auto">
        <a:xfrm>
          <a:off x="12897970" y="33303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55</xdr:row>
      <xdr:rowOff>358588</xdr:rowOff>
    </xdr:from>
    <xdr:ext cx="104775" cy="157443"/>
    <xdr:sp macro="" textlink="">
      <xdr:nvSpPr>
        <xdr:cNvPr id="1038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56</xdr:row>
      <xdr:rowOff>358588</xdr:rowOff>
    </xdr:from>
    <xdr:ext cx="104775" cy="157443"/>
    <xdr:sp macro="" textlink="">
      <xdr:nvSpPr>
        <xdr:cNvPr id="1039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57</xdr:row>
      <xdr:rowOff>358588</xdr:rowOff>
    </xdr:from>
    <xdr:ext cx="104775" cy="157443"/>
    <xdr:sp macro="" textlink="">
      <xdr:nvSpPr>
        <xdr:cNvPr id="1040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51</xdr:row>
      <xdr:rowOff>358588</xdr:rowOff>
    </xdr:from>
    <xdr:ext cx="104775" cy="157443"/>
    <xdr:sp macro="" textlink="">
      <xdr:nvSpPr>
        <xdr:cNvPr id="1041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52</xdr:row>
      <xdr:rowOff>358588</xdr:rowOff>
    </xdr:from>
    <xdr:ext cx="104775" cy="157443"/>
    <xdr:sp macro="" textlink="">
      <xdr:nvSpPr>
        <xdr:cNvPr id="1042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53</xdr:row>
      <xdr:rowOff>358588</xdr:rowOff>
    </xdr:from>
    <xdr:ext cx="104775" cy="157443"/>
    <xdr:sp macro="" textlink="">
      <xdr:nvSpPr>
        <xdr:cNvPr id="1043" name="Text Box 3268"/>
        <xdr:cNvSpPr txBox="1">
          <a:spLocks noChangeArrowheads="1"/>
        </xdr:cNvSpPr>
      </xdr:nvSpPr>
      <xdr:spPr bwMode="auto">
        <a:xfrm>
          <a:off x="12897970" y="27241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34</xdr:row>
      <xdr:rowOff>358588</xdr:rowOff>
    </xdr:from>
    <xdr:ext cx="104775" cy="157443"/>
    <xdr:sp macro="" textlink="">
      <xdr:nvSpPr>
        <xdr:cNvPr id="1044" name="Text Box 3268"/>
        <xdr:cNvSpPr txBox="1">
          <a:spLocks noChangeArrowheads="1"/>
        </xdr:cNvSpPr>
      </xdr:nvSpPr>
      <xdr:spPr bwMode="auto">
        <a:xfrm>
          <a:off x="12897970" y="13659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35</xdr:row>
      <xdr:rowOff>358588</xdr:rowOff>
    </xdr:from>
    <xdr:ext cx="104775" cy="157443"/>
    <xdr:sp macro="" textlink="">
      <xdr:nvSpPr>
        <xdr:cNvPr id="1045" name="Text Box 3268"/>
        <xdr:cNvSpPr txBox="1">
          <a:spLocks noChangeArrowheads="1"/>
        </xdr:cNvSpPr>
      </xdr:nvSpPr>
      <xdr:spPr bwMode="auto">
        <a:xfrm>
          <a:off x="12897970" y="1405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36</xdr:row>
      <xdr:rowOff>358588</xdr:rowOff>
    </xdr:from>
    <xdr:ext cx="104775" cy="157443"/>
    <xdr:sp macro="" textlink="">
      <xdr:nvSpPr>
        <xdr:cNvPr id="1046" name="Text Box 3268"/>
        <xdr:cNvSpPr txBox="1">
          <a:spLocks noChangeArrowheads="1"/>
        </xdr:cNvSpPr>
      </xdr:nvSpPr>
      <xdr:spPr bwMode="auto">
        <a:xfrm>
          <a:off x="12897970" y="13659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37</xdr:row>
      <xdr:rowOff>358588</xdr:rowOff>
    </xdr:from>
    <xdr:ext cx="104775" cy="157443"/>
    <xdr:sp macro="" textlink="">
      <xdr:nvSpPr>
        <xdr:cNvPr id="1047" name="Text Box 3268"/>
        <xdr:cNvSpPr txBox="1">
          <a:spLocks noChangeArrowheads="1"/>
        </xdr:cNvSpPr>
      </xdr:nvSpPr>
      <xdr:spPr bwMode="auto">
        <a:xfrm>
          <a:off x="12897970" y="1405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37</xdr:row>
      <xdr:rowOff>358588</xdr:rowOff>
    </xdr:from>
    <xdr:ext cx="104775" cy="157443"/>
    <xdr:sp macro="" textlink="">
      <xdr:nvSpPr>
        <xdr:cNvPr id="1048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38</xdr:row>
      <xdr:rowOff>358588</xdr:rowOff>
    </xdr:from>
    <xdr:ext cx="104775" cy="157443"/>
    <xdr:sp macro="" textlink="">
      <xdr:nvSpPr>
        <xdr:cNvPr id="1049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37</xdr:row>
      <xdr:rowOff>358588</xdr:rowOff>
    </xdr:from>
    <xdr:ext cx="104775" cy="157443"/>
    <xdr:sp macro="" textlink="">
      <xdr:nvSpPr>
        <xdr:cNvPr id="1050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38</xdr:row>
      <xdr:rowOff>358588</xdr:rowOff>
    </xdr:from>
    <xdr:ext cx="104775" cy="157443"/>
    <xdr:sp macro="" textlink="">
      <xdr:nvSpPr>
        <xdr:cNvPr id="1051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38</xdr:row>
      <xdr:rowOff>358588</xdr:rowOff>
    </xdr:from>
    <xdr:ext cx="104775" cy="157443"/>
    <xdr:sp macro="" textlink="">
      <xdr:nvSpPr>
        <xdr:cNvPr id="1052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39</xdr:row>
      <xdr:rowOff>358588</xdr:rowOff>
    </xdr:from>
    <xdr:ext cx="104775" cy="157443"/>
    <xdr:sp macro="" textlink="">
      <xdr:nvSpPr>
        <xdr:cNvPr id="1053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38</xdr:row>
      <xdr:rowOff>358588</xdr:rowOff>
    </xdr:from>
    <xdr:ext cx="104775" cy="157443"/>
    <xdr:sp macro="" textlink="">
      <xdr:nvSpPr>
        <xdr:cNvPr id="1054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39</xdr:row>
      <xdr:rowOff>358588</xdr:rowOff>
    </xdr:from>
    <xdr:ext cx="104775" cy="157443"/>
    <xdr:sp macro="" textlink="">
      <xdr:nvSpPr>
        <xdr:cNvPr id="1055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39</xdr:row>
      <xdr:rowOff>358588</xdr:rowOff>
    </xdr:from>
    <xdr:ext cx="104775" cy="157443"/>
    <xdr:sp macro="" textlink="">
      <xdr:nvSpPr>
        <xdr:cNvPr id="1056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40</xdr:row>
      <xdr:rowOff>358588</xdr:rowOff>
    </xdr:from>
    <xdr:ext cx="104775" cy="157443"/>
    <xdr:sp macro="" textlink="">
      <xdr:nvSpPr>
        <xdr:cNvPr id="1057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39</xdr:row>
      <xdr:rowOff>358588</xdr:rowOff>
    </xdr:from>
    <xdr:ext cx="104775" cy="157443"/>
    <xdr:sp macro="" textlink="">
      <xdr:nvSpPr>
        <xdr:cNvPr id="1058" name="Text Box 3268"/>
        <xdr:cNvSpPr txBox="1">
          <a:spLocks noChangeArrowheads="1"/>
        </xdr:cNvSpPr>
      </xdr:nvSpPr>
      <xdr:spPr bwMode="auto">
        <a:xfrm>
          <a:off x="12897970" y="15755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40</xdr:row>
      <xdr:rowOff>358588</xdr:rowOff>
    </xdr:from>
    <xdr:ext cx="104775" cy="157443"/>
    <xdr:sp macro="" textlink="">
      <xdr:nvSpPr>
        <xdr:cNvPr id="1059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45</xdr:row>
      <xdr:rowOff>358588</xdr:rowOff>
    </xdr:from>
    <xdr:ext cx="104775" cy="157443"/>
    <xdr:sp macro="" textlink="">
      <xdr:nvSpPr>
        <xdr:cNvPr id="1060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45</xdr:row>
      <xdr:rowOff>358588</xdr:rowOff>
    </xdr:from>
    <xdr:ext cx="104775" cy="157443"/>
    <xdr:sp macro="" textlink="">
      <xdr:nvSpPr>
        <xdr:cNvPr id="1061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46</xdr:row>
      <xdr:rowOff>358588</xdr:rowOff>
    </xdr:from>
    <xdr:ext cx="104775" cy="157443"/>
    <xdr:sp macro="" textlink="">
      <xdr:nvSpPr>
        <xdr:cNvPr id="1062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46</xdr:row>
      <xdr:rowOff>358588</xdr:rowOff>
    </xdr:from>
    <xdr:ext cx="104775" cy="157443"/>
    <xdr:sp macro="" textlink="">
      <xdr:nvSpPr>
        <xdr:cNvPr id="1063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47</xdr:row>
      <xdr:rowOff>358588</xdr:rowOff>
    </xdr:from>
    <xdr:ext cx="104775" cy="157443"/>
    <xdr:sp macro="" textlink="">
      <xdr:nvSpPr>
        <xdr:cNvPr id="1064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46</xdr:row>
      <xdr:rowOff>358588</xdr:rowOff>
    </xdr:from>
    <xdr:ext cx="104775" cy="157443"/>
    <xdr:sp macro="" textlink="">
      <xdr:nvSpPr>
        <xdr:cNvPr id="1065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47</xdr:row>
      <xdr:rowOff>358588</xdr:rowOff>
    </xdr:from>
    <xdr:ext cx="104775" cy="157443"/>
    <xdr:sp macro="" textlink="">
      <xdr:nvSpPr>
        <xdr:cNvPr id="1066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47</xdr:row>
      <xdr:rowOff>358588</xdr:rowOff>
    </xdr:from>
    <xdr:ext cx="104775" cy="157443"/>
    <xdr:sp macro="" textlink="">
      <xdr:nvSpPr>
        <xdr:cNvPr id="1067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48</xdr:row>
      <xdr:rowOff>358588</xdr:rowOff>
    </xdr:from>
    <xdr:ext cx="104775" cy="157443"/>
    <xdr:sp macro="" textlink="">
      <xdr:nvSpPr>
        <xdr:cNvPr id="1068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47</xdr:row>
      <xdr:rowOff>358588</xdr:rowOff>
    </xdr:from>
    <xdr:ext cx="104775" cy="157443"/>
    <xdr:sp macro="" textlink="">
      <xdr:nvSpPr>
        <xdr:cNvPr id="1069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48</xdr:row>
      <xdr:rowOff>358588</xdr:rowOff>
    </xdr:from>
    <xdr:ext cx="104775" cy="157443"/>
    <xdr:sp macro="" textlink="">
      <xdr:nvSpPr>
        <xdr:cNvPr id="1070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48</xdr:row>
      <xdr:rowOff>358588</xdr:rowOff>
    </xdr:from>
    <xdr:ext cx="104775" cy="157443"/>
    <xdr:sp macro="" textlink="">
      <xdr:nvSpPr>
        <xdr:cNvPr id="1071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49</xdr:row>
      <xdr:rowOff>358588</xdr:rowOff>
    </xdr:from>
    <xdr:ext cx="104775" cy="157443"/>
    <xdr:sp macro="" textlink="">
      <xdr:nvSpPr>
        <xdr:cNvPr id="1072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48</xdr:row>
      <xdr:rowOff>358588</xdr:rowOff>
    </xdr:from>
    <xdr:ext cx="104775" cy="157443"/>
    <xdr:sp macro="" textlink="">
      <xdr:nvSpPr>
        <xdr:cNvPr id="1073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49</xdr:row>
      <xdr:rowOff>358588</xdr:rowOff>
    </xdr:from>
    <xdr:ext cx="104775" cy="157443"/>
    <xdr:sp macro="" textlink="">
      <xdr:nvSpPr>
        <xdr:cNvPr id="1074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49</xdr:row>
      <xdr:rowOff>358588</xdr:rowOff>
    </xdr:from>
    <xdr:ext cx="104775" cy="157443"/>
    <xdr:sp macro="" textlink="">
      <xdr:nvSpPr>
        <xdr:cNvPr id="1075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49</xdr:row>
      <xdr:rowOff>358588</xdr:rowOff>
    </xdr:from>
    <xdr:ext cx="104775" cy="157443"/>
    <xdr:sp macro="" textlink="">
      <xdr:nvSpPr>
        <xdr:cNvPr id="1076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50</xdr:row>
      <xdr:rowOff>358588</xdr:rowOff>
    </xdr:from>
    <xdr:ext cx="104775" cy="157443"/>
    <xdr:sp macro="" textlink="">
      <xdr:nvSpPr>
        <xdr:cNvPr id="1077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50</xdr:row>
      <xdr:rowOff>358588</xdr:rowOff>
    </xdr:from>
    <xdr:ext cx="104775" cy="157443"/>
    <xdr:sp macro="" textlink="">
      <xdr:nvSpPr>
        <xdr:cNvPr id="1078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51</xdr:row>
      <xdr:rowOff>358588</xdr:rowOff>
    </xdr:from>
    <xdr:ext cx="104775" cy="157443"/>
    <xdr:sp macro="" textlink="">
      <xdr:nvSpPr>
        <xdr:cNvPr id="1079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50</xdr:row>
      <xdr:rowOff>358588</xdr:rowOff>
    </xdr:from>
    <xdr:ext cx="104775" cy="157443"/>
    <xdr:sp macro="" textlink="">
      <xdr:nvSpPr>
        <xdr:cNvPr id="1080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51</xdr:row>
      <xdr:rowOff>358588</xdr:rowOff>
    </xdr:from>
    <xdr:ext cx="104775" cy="157443"/>
    <xdr:sp macro="" textlink="">
      <xdr:nvSpPr>
        <xdr:cNvPr id="1081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51</xdr:row>
      <xdr:rowOff>358588</xdr:rowOff>
    </xdr:from>
    <xdr:ext cx="104775" cy="157443"/>
    <xdr:sp macro="" textlink="">
      <xdr:nvSpPr>
        <xdr:cNvPr id="1082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52</xdr:row>
      <xdr:rowOff>358588</xdr:rowOff>
    </xdr:from>
    <xdr:ext cx="104775" cy="157443"/>
    <xdr:sp macro="" textlink="">
      <xdr:nvSpPr>
        <xdr:cNvPr id="1083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51</xdr:row>
      <xdr:rowOff>358588</xdr:rowOff>
    </xdr:from>
    <xdr:ext cx="104775" cy="157443"/>
    <xdr:sp macro="" textlink="">
      <xdr:nvSpPr>
        <xdr:cNvPr id="1084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52</xdr:row>
      <xdr:rowOff>358588</xdr:rowOff>
    </xdr:from>
    <xdr:ext cx="104775" cy="157443"/>
    <xdr:sp macro="" textlink="">
      <xdr:nvSpPr>
        <xdr:cNvPr id="1085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52</xdr:row>
      <xdr:rowOff>358588</xdr:rowOff>
    </xdr:from>
    <xdr:ext cx="104775" cy="157443"/>
    <xdr:sp macro="" textlink="">
      <xdr:nvSpPr>
        <xdr:cNvPr id="1086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53</xdr:row>
      <xdr:rowOff>358588</xdr:rowOff>
    </xdr:from>
    <xdr:ext cx="104775" cy="157443"/>
    <xdr:sp macro="" textlink="">
      <xdr:nvSpPr>
        <xdr:cNvPr id="1087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52</xdr:row>
      <xdr:rowOff>358588</xdr:rowOff>
    </xdr:from>
    <xdr:ext cx="104775" cy="157443"/>
    <xdr:sp macro="" textlink="">
      <xdr:nvSpPr>
        <xdr:cNvPr id="1088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53</xdr:row>
      <xdr:rowOff>358588</xdr:rowOff>
    </xdr:from>
    <xdr:ext cx="104775" cy="157443"/>
    <xdr:sp macro="" textlink="">
      <xdr:nvSpPr>
        <xdr:cNvPr id="1089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53</xdr:row>
      <xdr:rowOff>358588</xdr:rowOff>
    </xdr:from>
    <xdr:ext cx="104775" cy="157443"/>
    <xdr:sp macro="" textlink="">
      <xdr:nvSpPr>
        <xdr:cNvPr id="1090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53</xdr:row>
      <xdr:rowOff>358588</xdr:rowOff>
    </xdr:from>
    <xdr:ext cx="104775" cy="157443"/>
    <xdr:sp macro="" textlink="">
      <xdr:nvSpPr>
        <xdr:cNvPr id="1091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54</xdr:row>
      <xdr:rowOff>358588</xdr:rowOff>
    </xdr:from>
    <xdr:ext cx="104775" cy="157443"/>
    <xdr:sp macro="" textlink="">
      <xdr:nvSpPr>
        <xdr:cNvPr id="1092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54</xdr:row>
      <xdr:rowOff>358588</xdr:rowOff>
    </xdr:from>
    <xdr:ext cx="104775" cy="157443"/>
    <xdr:sp macro="" textlink="">
      <xdr:nvSpPr>
        <xdr:cNvPr id="1093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55</xdr:row>
      <xdr:rowOff>358588</xdr:rowOff>
    </xdr:from>
    <xdr:ext cx="104775" cy="157443"/>
    <xdr:sp macro="" textlink="">
      <xdr:nvSpPr>
        <xdr:cNvPr id="1094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54</xdr:row>
      <xdr:rowOff>358588</xdr:rowOff>
    </xdr:from>
    <xdr:ext cx="104775" cy="157443"/>
    <xdr:sp macro="" textlink="">
      <xdr:nvSpPr>
        <xdr:cNvPr id="1095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55</xdr:row>
      <xdr:rowOff>358588</xdr:rowOff>
    </xdr:from>
    <xdr:ext cx="104775" cy="157443"/>
    <xdr:sp macro="" textlink="">
      <xdr:nvSpPr>
        <xdr:cNvPr id="1096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55</xdr:row>
      <xdr:rowOff>358588</xdr:rowOff>
    </xdr:from>
    <xdr:ext cx="104775" cy="157443"/>
    <xdr:sp macro="" textlink="">
      <xdr:nvSpPr>
        <xdr:cNvPr id="1097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56</xdr:row>
      <xdr:rowOff>358588</xdr:rowOff>
    </xdr:from>
    <xdr:ext cx="104775" cy="157443"/>
    <xdr:sp macro="" textlink="">
      <xdr:nvSpPr>
        <xdr:cNvPr id="1098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55</xdr:row>
      <xdr:rowOff>358588</xdr:rowOff>
    </xdr:from>
    <xdr:ext cx="104775" cy="157443"/>
    <xdr:sp macro="" textlink="">
      <xdr:nvSpPr>
        <xdr:cNvPr id="1099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56</xdr:row>
      <xdr:rowOff>358588</xdr:rowOff>
    </xdr:from>
    <xdr:ext cx="104775" cy="157443"/>
    <xdr:sp macro="" textlink="">
      <xdr:nvSpPr>
        <xdr:cNvPr id="1100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56</xdr:row>
      <xdr:rowOff>358588</xdr:rowOff>
    </xdr:from>
    <xdr:ext cx="104775" cy="157443"/>
    <xdr:sp macro="" textlink="">
      <xdr:nvSpPr>
        <xdr:cNvPr id="1101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57</xdr:row>
      <xdr:rowOff>358588</xdr:rowOff>
    </xdr:from>
    <xdr:ext cx="104775" cy="157443"/>
    <xdr:sp macro="" textlink="">
      <xdr:nvSpPr>
        <xdr:cNvPr id="1102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56</xdr:row>
      <xdr:rowOff>358588</xdr:rowOff>
    </xdr:from>
    <xdr:ext cx="104775" cy="157443"/>
    <xdr:sp macro="" textlink="">
      <xdr:nvSpPr>
        <xdr:cNvPr id="1103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57</xdr:row>
      <xdr:rowOff>358588</xdr:rowOff>
    </xdr:from>
    <xdr:ext cx="104775" cy="157443"/>
    <xdr:sp macro="" textlink="">
      <xdr:nvSpPr>
        <xdr:cNvPr id="1104" name="Text Box 3268"/>
        <xdr:cNvSpPr txBox="1">
          <a:spLocks noChangeArrowheads="1"/>
        </xdr:cNvSpPr>
      </xdr:nvSpPr>
      <xdr:spPr bwMode="auto">
        <a:xfrm>
          <a:off x="12897970" y="17783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40</xdr:row>
      <xdr:rowOff>358588</xdr:rowOff>
    </xdr:from>
    <xdr:ext cx="104775" cy="157443"/>
    <xdr:sp macro="" textlink="">
      <xdr:nvSpPr>
        <xdr:cNvPr id="1105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40</xdr:row>
      <xdr:rowOff>358588</xdr:rowOff>
    </xdr:from>
    <xdr:ext cx="104775" cy="157443"/>
    <xdr:sp macro="" textlink="">
      <xdr:nvSpPr>
        <xdr:cNvPr id="1106" name="Text Box 3268"/>
        <xdr:cNvSpPr txBox="1">
          <a:spLocks noChangeArrowheads="1"/>
        </xdr:cNvSpPr>
      </xdr:nvSpPr>
      <xdr:spPr bwMode="auto">
        <a:xfrm>
          <a:off x="12897970" y="16147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41</xdr:row>
      <xdr:rowOff>358588</xdr:rowOff>
    </xdr:from>
    <xdr:ext cx="104775" cy="157443"/>
    <xdr:sp macro="" textlink="">
      <xdr:nvSpPr>
        <xdr:cNvPr id="1107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41</xdr:row>
      <xdr:rowOff>358588</xdr:rowOff>
    </xdr:from>
    <xdr:ext cx="104775" cy="157443"/>
    <xdr:sp macro="" textlink="">
      <xdr:nvSpPr>
        <xdr:cNvPr id="1108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42</xdr:row>
      <xdr:rowOff>358588</xdr:rowOff>
    </xdr:from>
    <xdr:ext cx="104775" cy="157443"/>
    <xdr:sp macro="" textlink="">
      <xdr:nvSpPr>
        <xdr:cNvPr id="1109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41</xdr:row>
      <xdr:rowOff>358588</xdr:rowOff>
    </xdr:from>
    <xdr:ext cx="104775" cy="157443"/>
    <xdr:sp macro="" textlink="">
      <xdr:nvSpPr>
        <xdr:cNvPr id="1110" name="Text Box 3268"/>
        <xdr:cNvSpPr txBox="1">
          <a:spLocks noChangeArrowheads="1"/>
        </xdr:cNvSpPr>
      </xdr:nvSpPr>
      <xdr:spPr bwMode="auto">
        <a:xfrm>
          <a:off x="12897970" y="165398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42</xdr:row>
      <xdr:rowOff>358588</xdr:rowOff>
    </xdr:from>
    <xdr:ext cx="104775" cy="157443"/>
    <xdr:sp macro="" textlink="">
      <xdr:nvSpPr>
        <xdr:cNvPr id="1111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42</xdr:row>
      <xdr:rowOff>358588</xdr:rowOff>
    </xdr:from>
    <xdr:ext cx="104775" cy="157443"/>
    <xdr:sp macro="" textlink="">
      <xdr:nvSpPr>
        <xdr:cNvPr id="1112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43</xdr:row>
      <xdr:rowOff>358588</xdr:rowOff>
    </xdr:from>
    <xdr:ext cx="104775" cy="157443"/>
    <xdr:sp macro="" textlink="">
      <xdr:nvSpPr>
        <xdr:cNvPr id="1113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42</xdr:row>
      <xdr:rowOff>358588</xdr:rowOff>
    </xdr:from>
    <xdr:ext cx="104775" cy="157443"/>
    <xdr:sp macro="" textlink="">
      <xdr:nvSpPr>
        <xdr:cNvPr id="1114" name="Text Box 3268"/>
        <xdr:cNvSpPr txBox="1">
          <a:spLocks noChangeArrowheads="1"/>
        </xdr:cNvSpPr>
      </xdr:nvSpPr>
      <xdr:spPr bwMode="auto">
        <a:xfrm>
          <a:off x="12897970" y="16932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43</xdr:row>
      <xdr:rowOff>358588</xdr:rowOff>
    </xdr:from>
    <xdr:ext cx="104775" cy="157443"/>
    <xdr:sp macro="" textlink="">
      <xdr:nvSpPr>
        <xdr:cNvPr id="1115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43</xdr:row>
      <xdr:rowOff>358588</xdr:rowOff>
    </xdr:from>
    <xdr:ext cx="104775" cy="157443"/>
    <xdr:sp macro="" textlink="">
      <xdr:nvSpPr>
        <xdr:cNvPr id="1116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43</xdr:row>
      <xdr:rowOff>358588</xdr:rowOff>
    </xdr:from>
    <xdr:ext cx="104775" cy="157443"/>
    <xdr:sp macro="" textlink="">
      <xdr:nvSpPr>
        <xdr:cNvPr id="1118" name="Text Box 3268"/>
        <xdr:cNvSpPr txBox="1">
          <a:spLocks noChangeArrowheads="1"/>
        </xdr:cNvSpPr>
      </xdr:nvSpPr>
      <xdr:spPr bwMode="auto">
        <a:xfrm>
          <a:off x="12897970" y="173579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1210234</xdr:colOff>
      <xdr:row>45</xdr:row>
      <xdr:rowOff>179294</xdr:rowOff>
    </xdr:from>
    <xdr:ext cx="104775" cy="157443"/>
    <xdr:sp macro="" textlink="">
      <xdr:nvSpPr>
        <xdr:cNvPr id="1119" name="Text Box 3268"/>
        <xdr:cNvSpPr txBox="1">
          <a:spLocks noChangeArrowheads="1"/>
        </xdr:cNvSpPr>
      </xdr:nvSpPr>
      <xdr:spPr bwMode="auto">
        <a:xfrm>
          <a:off x="12875558" y="195990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44</xdr:row>
      <xdr:rowOff>358588</xdr:rowOff>
    </xdr:from>
    <xdr:ext cx="104775" cy="157443"/>
    <xdr:sp macro="" textlink="">
      <xdr:nvSpPr>
        <xdr:cNvPr id="1120" name="Text Box 3268"/>
        <xdr:cNvSpPr txBox="1">
          <a:spLocks noChangeArrowheads="1"/>
        </xdr:cNvSpPr>
      </xdr:nvSpPr>
      <xdr:spPr bwMode="auto">
        <a:xfrm>
          <a:off x="12897970" y="18993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44</xdr:row>
      <xdr:rowOff>358588</xdr:rowOff>
    </xdr:from>
    <xdr:ext cx="104775" cy="157443"/>
    <xdr:sp macro="" textlink="">
      <xdr:nvSpPr>
        <xdr:cNvPr id="1121" name="Text Box 3268"/>
        <xdr:cNvSpPr txBox="1">
          <a:spLocks noChangeArrowheads="1"/>
        </xdr:cNvSpPr>
      </xdr:nvSpPr>
      <xdr:spPr bwMode="auto">
        <a:xfrm>
          <a:off x="12897970" y="18993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44</xdr:row>
      <xdr:rowOff>358588</xdr:rowOff>
    </xdr:from>
    <xdr:ext cx="104775" cy="157443"/>
    <xdr:sp macro="" textlink="">
      <xdr:nvSpPr>
        <xdr:cNvPr id="1122" name="Text Box 3268"/>
        <xdr:cNvSpPr txBox="1">
          <a:spLocks noChangeArrowheads="1"/>
        </xdr:cNvSpPr>
      </xdr:nvSpPr>
      <xdr:spPr bwMode="auto">
        <a:xfrm>
          <a:off x="12897970" y="18993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44</xdr:row>
      <xdr:rowOff>358588</xdr:rowOff>
    </xdr:from>
    <xdr:ext cx="104775" cy="157443"/>
    <xdr:sp macro="" textlink="">
      <xdr:nvSpPr>
        <xdr:cNvPr id="1123" name="Text Box 3268"/>
        <xdr:cNvSpPr txBox="1">
          <a:spLocks noChangeArrowheads="1"/>
        </xdr:cNvSpPr>
      </xdr:nvSpPr>
      <xdr:spPr bwMode="auto">
        <a:xfrm>
          <a:off x="12897970" y="18993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24" name="Text Box 3268"/>
        <xdr:cNvSpPr txBox="1">
          <a:spLocks noChangeArrowheads="1"/>
        </xdr:cNvSpPr>
      </xdr:nvSpPr>
      <xdr:spPr bwMode="auto">
        <a:xfrm>
          <a:off x="12897970" y="34267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25" name="Text Box 3268"/>
        <xdr:cNvSpPr txBox="1">
          <a:spLocks noChangeArrowheads="1"/>
        </xdr:cNvSpPr>
      </xdr:nvSpPr>
      <xdr:spPr bwMode="auto">
        <a:xfrm>
          <a:off x="12897970" y="34267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26" name="Text Box 3268"/>
        <xdr:cNvSpPr txBox="1">
          <a:spLocks noChangeArrowheads="1"/>
        </xdr:cNvSpPr>
      </xdr:nvSpPr>
      <xdr:spPr bwMode="auto">
        <a:xfrm>
          <a:off x="12897970" y="34267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27" name="Text Box 3268"/>
        <xdr:cNvSpPr txBox="1">
          <a:spLocks noChangeArrowheads="1"/>
        </xdr:cNvSpPr>
      </xdr:nvSpPr>
      <xdr:spPr bwMode="auto">
        <a:xfrm>
          <a:off x="12897970" y="34267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113</xdr:row>
      <xdr:rowOff>358588</xdr:rowOff>
    </xdr:from>
    <xdr:ext cx="104775" cy="157443"/>
    <xdr:sp macro="" textlink="">
      <xdr:nvSpPr>
        <xdr:cNvPr id="1128" name="Text Box 3268"/>
        <xdr:cNvSpPr txBox="1">
          <a:spLocks noChangeArrowheads="1"/>
        </xdr:cNvSpPr>
      </xdr:nvSpPr>
      <xdr:spPr bwMode="auto">
        <a:xfrm>
          <a:off x="12897970" y="34749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113</xdr:row>
      <xdr:rowOff>358588</xdr:rowOff>
    </xdr:from>
    <xdr:ext cx="104775" cy="157443"/>
    <xdr:sp macro="" textlink="">
      <xdr:nvSpPr>
        <xdr:cNvPr id="1129" name="Text Box 3268"/>
        <xdr:cNvSpPr txBox="1">
          <a:spLocks noChangeArrowheads="1"/>
        </xdr:cNvSpPr>
      </xdr:nvSpPr>
      <xdr:spPr bwMode="auto">
        <a:xfrm>
          <a:off x="12897970" y="34749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113</xdr:row>
      <xdr:rowOff>358588</xdr:rowOff>
    </xdr:from>
    <xdr:ext cx="104775" cy="157443"/>
    <xdr:sp macro="" textlink="">
      <xdr:nvSpPr>
        <xdr:cNvPr id="1130" name="Text Box 3268"/>
        <xdr:cNvSpPr txBox="1">
          <a:spLocks noChangeArrowheads="1"/>
        </xdr:cNvSpPr>
      </xdr:nvSpPr>
      <xdr:spPr bwMode="auto">
        <a:xfrm>
          <a:off x="12897970" y="34749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113</xdr:row>
      <xdr:rowOff>358588</xdr:rowOff>
    </xdr:from>
    <xdr:ext cx="104775" cy="157443"/>
    <xdr:sp macro="" textlink="">
      <xdr:nvSpPr>
        <xdr:cNvPr id="1131" name="Text Box 3268"/>
        <xdr:cNvSpPr txBox="1">
          <a:spLocks noChangeArrowheads="1"/>
        </xdr:cNvSpPr>
      </xdr:nvSpPr>
      <xdr:spPr bwMode="auto">
        <a:xfrm>
          <a:off x="12897970" y="31488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114</xdr:row>
      <xdr:rowOff>358588</xdr:rowOff>
    </xdr:from>
    <xdr:ext cx="104775" cy="157443"/>
    <xdr:sp macro="" textlink="">
      <xdr:nvSpPr>
        <xdr:cNvPr id="1132" name="Text Box 3268"/>
        <xdr:cNvSpPr txBox="1">
          <a:spLocks noChangeArrowheads="1"/>
        </xdr:cNvSpPr>
      </xdr:nvSpPr>
      <xdr:spPr bwMode="auto">
        <a:xfrm>
          <a:off x="12897970" y="319703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113</xdr:row>
      <xdr:rowOff>358588</xdr:rowOff>
    </xdr:from>
    <xdr:ext cx="104775" cy="157443"/>
    <xdr:sp macro="" textlink="">
      <xdr:nvSpPr>
        <xdr:cNvPr id="1133" name="Text Box 3268"/>
        <xdr:cNvSpPr txBox="1">
          <a:spLocks noChangeArrowheads="1"/>
        </xdr:cNvSpPr>
      </xdr:nvSpPr>
      <xdr:spPr bwMode="auto">
        <a:xfrm>
          <a:off x="12897970" y="31488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114</xdr:row>
      <xdr:rowOff>358588</xdr:rowOff>
    </xdr:from>
    <xdr:ext cx="104775" cy="157443"/>
    <xdr:sp macro="" textlink="">
      <xdr:nvSpPr>
        <xdr:cNvPr id="1134" name="Text Box 3268"/>
        <xdr:cNvSpPr txBox="1">
          <a:spLocks noChangeArrowheads="1"/>
        </xdr:cNvSpPr>
      </xdr:nvSpPr>
      <xdr:spPr bwMode="auto">
        <a:xfrm>
          <a:off x="12897970" y="31488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115</xdr:row>
      <xdr:rowOff>358588</xdr:rowOff>
    </xdr:from>
    <xdr:ext cx="104775" cy="157443"/>
    <xdr:sp macro="" textlink="">
      <xdr:nvSpPr>
        <xdr:cNvPr id="1135" name="Text Box 3268"/>
        <xdr:cNvSpPr txBox="1">
          <a:spLocks noChangeArrowheads="1"/>
        </xdr:cNvSpPr>
      </xdr:nvSpPr>
      <xdr:spPr bwMode="auto">
        <a:xfrm>
          <a:off x="12897970" y="3197038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114</xdr:row>
      <xdr:rowOff>358588</xdr:rowOff>
    </xdr:from>
    <xdr:ext cx="104775" cy="157443"/>
    <xdr:sp macro="" textlink="">
      <xdr:nvSpPr>
        <xdr:cNvPr id="1136" name="Text Box 3268"/>
        <xdr:cNvSpPr txBox="1">
          <a:spLocks noChangeArrowheads="1"/>
        </xdr:cNvSpPr>
      </xdr:nvSpPr>
      <xdr:spPr bwMode="auto">
        <a:xfrm>
          <a:off x="12897970" y="314885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137" name="Text Box 3268"/>
        <xdr:cNvSpPr txBox="1">
          <a:spLocks noChangeArrowheads="1"/>
        </xdr:cNvSpPr>
      </xdr:nvSpPr>
      <xdr:spPr bwMode="auto">
        <a:xfrm>
          <a:off x="12897970" y="48790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138" name="Text Box 3268"/>
        <xdr:cNvSpPr txBox="1">
          <a:spLocks noChangeArrowheads="1"/>
        </xdr:cNvSpPr>
      </xdr:nvSpPr>
      <xdr:spPr bwMode="auto">
        <a:xfrm>
          <a:off x="12897970" y="48790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139" name="Text Box 3268"/>
        <xdr:cNvSpPr txBox="1">
          <a:spLocks noChangeArrowheads="1"/>
        </xdr:cNvSpPr>
      </xdr:nvSpPr>
      <xdr:spPr bwMode="auto">
        <a:xfrm>
          <a:off x="12897970" y="48790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140" name="Text Box 3268"/>
        <xdr:cNvSpPr txBox="1">
          <a:spLocks noChangeArrowheads="1"/>
        </xdr:cNvSpPr>
      </xdr:nvSpPr>
      <xdr:spPr bwMode="auto">
        <a:xfrm>
          <a:off x="12897970" y="48790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41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42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43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44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45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146" name="Text Box 3268"/>
        <xdr:cNvSpPr txBox="1">
          <a:spLocks noChangeArrowheads="1"/>
        </xdr:cNvSpPr>
      </xdr:nvSpPr>
      <xdr:spPr bwMode="auto">
        <a:xfrm>
          <a:off x="12897970" y="46246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147" name="Text Box 3268"/>
        <xdr:cNvSpPr txBox="1">
          <a:spLocks noChangeArrowheads="1"/>
        </xdr:cNvSpPr>
      </xdr:nvSpPr>
      <xdr:spPr bwMode="auto">
        <a:xfrm>
          <a:off x="12897970" y="46246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148" name="Text Box 3268"/>
        <xdr:cNvSpPr txBox="1">
          <a:spLocks noChangeArrowheads="1"/>
        </xdr:cNvSpPr>
      </xdr:nvSpPr>
      <xdr:spPr bwMode="auto">
        <a:xfrm>
          <a:off x="12897970" y="46246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149" name="Text Box 3268"/>
        <xdr:cNvSpPr txBox="1">
          <a:spLocks noChangeArrowheads="1"/>
        </xdr:cNvSpPr>
      </xdr:nvSpPr>
      <xdr:spPr bwMode="auto">
        <a:xfrm>
          <a:off x="12897970" y="46246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50" name="Text Box 3268"/>
        <xdr:cNvSpPr txBox="1">
          <a:spLocks noChangeArrowheads="1"/>
        </xdr:cNvSpPr>
      </xdr:nvSpPr>
      <xdr:spPr bwMode="auto">
        <a:xfrm>
          <a:off x="12897970" y="46661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51" name="Text Box 3268"/>
        <xdr:cNvSpPr txBox="1">
          <a:spLocks noChangeArrowheads="1"/>
        </xdr:cNvSpPr>
      </xdr:nvSpPr>
      <xdr:spPr bwMode="auto">
        <a:xfrm>
          <a:off x="12897970" y="46661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52" name="Text Box 3268"/>
        <xdr:cNvSpPr txBox="1">
          <a:spLocks noChangeArrowheads="1"/>
        </xdr:cNvSpPr>
      </xdr:nvSpPr>
      <xdr:spPr bwMode="auto">
        <a:xfrm>
          <a:off x="12897970" y="46661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53" name="Text Box 3268"/>
        <xdr:cNvSpPr txBox="1">
          <a:spLocks noChangeArrowheads="1"/>
        </xdr:cNvSpPr>
      </xdr:nvSpPr>
      <xdr:spPr bwMode="auto">
        <a:xfrm>
          <a:off x="12897970" y="46661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54" name="Text Box 3268"/>
        <xdr:cNvSpPr txBox="1">
          <a:spLocks noChangeArrowheads="1"/>
        </xdr:cNvSpPr>
      </xdr:nvSpPr>
      <xdr:spPr bwMode="auto">
        <a:xfrm>
          <a:off x="12897970" y="46661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55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56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57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58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59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107</xdr:row>
      <xdr:rowOff>358588</xdr:rowOff>
    </xdr:from>
    <xdr:ext cx="104775" cy="157443"/>
    <xdr:sp macro="" textlink="">
      <xdr:nvSpPr>
        <xdr:cNvPr id="1160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1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2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3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4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5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6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67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108</xdr:row>
      <xdr:rowOff>358588</xdr:rowOff>
    </xdr:from>
    <xdr:ext cx="104775" cy="157443"/>
    <xdr:sp macro="" textlink="">
      <xdr:nvSpPr>
        <xdr:cNvPr id="1168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69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0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1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2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3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4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75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109</xdr:row>
      <xdr:rowOff>358588</xdr:rowOff>
    </xdr:from>
    <xdr:ext cx="104775" cy="157443"/>
    <xdr:sp macro="" textlink="">
      <xdr:nvSpPr>
        <xdr:cNvPr id="1176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77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78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79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80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81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82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3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110</xdr:row>
      <xdr:rowOff>358588</xdr:rowOff>
    </xdr:from>
    <xdr:ext cx="104775" cy="157443"/>
    <xdr:sp macro="" textlink="">
      <xdr:nvSpPr>
        <xdr:cNvPr id="1184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5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6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7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8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89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90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91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111</xdr:row>
      <xdr:rowOff>358588</xdr:rowOff>
    </xdr:from>
    <xdr:ext cx="104775" cy="157443"/>
    <xdr:sp macro="" textlink="">
      <xdr:nvSpPr>
        <xdr:cNvPr id="1192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93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112</xdr:row>
      <xdr:rowOff>358588</xdr:rowOff>
    </xdr:from>
    <xdr:ext cx="104775" cy="157443"/>
    <xdr:sp macro="" textlink="">
      <xdr:nvSpPr>
        <xdr:cNvPr id="1194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95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96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97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198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199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104</xdr:row>
      <xdr:rowOff>358588</xdr:rowOff>
    </xdr:from>
    <xdr:ext cx="104775" cy="157443"/>
    <xdr:sp macro="" textlink="">
      <xdr:nvSpPr>
        <xdr:cNvPr id="1200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1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2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3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4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5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6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207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105</xdr:row>
      <xdr:rowOff>358588</xdr:rowOff>
    </xdr:from>
    <xdr:ext cx="104775" cy="157443"/>
    <xdr:sp macro="" textlink="">
      <xdr:nvSpPr>
        <xdr:cNvPr id="1208" name="Text Box 3268"/>
        <xdr:cNvSpPr txBox="1">
          <a:spLocks noChangeArrowheads="1"/>
        </xdr:cNvSpPr>
      </xdr:nvSpPr>
      <xdr:spPr bwMode="auto">
        <a:xfrm>
          <a:off x="12897970" y="49205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209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106</xdr:row>
      <xdr:rowOff>358588</xdr:rowOff>
    </xdr:from>
    <xdr:ext cx="104775" cy="157443"/>
    <xdr:sp macro="" textlink="">
      <xdr:nvSpPr>
        <xdr:cNvPr id="1210" name="Text Box 3268"/>
        <xdr:cNvSpPr txBox="1">
          <a:spLocks noChangeArrowheads="1"/>
        </xdr:cNvSpPr>
      </xdr:nvSpPr>
      <xdr:spPr bwMode="auto">
        <a:xfrm>
          <a:off x="12897970" y="49619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2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3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4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6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8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1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0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2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2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3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4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5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6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7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8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2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0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2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3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4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6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38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100</xdr:row>
      <xdr:rowOff>358588</xdr:rowOff>
    </xdr:from>
    <xdr:ext cx="104775" cy="157443"/>
    <xdr:sp macro="" textlink="">
      <xdr:nvSpPr>
        <xdr:cNvPr id="123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0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1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2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3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4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5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6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8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4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0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2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3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4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56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101</xdr:row>
      <xdr:rowOff>358588</xdr:rowOff>
    </xdr:from>
    <xdr:ext cx="104775" cy="157443"/>
    <xdr:sp macro="" textlink="">
      <xdr:nvSpPr>
        <xdr:cNvPr id="125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58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59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0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1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2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3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4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6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8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6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70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7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72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73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74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102</xdr:row>
      <xdr:rowOff>358588</xdr:rowOff>
    </xdr:from>
    <xdr:ext cx="104775" cy="157443"/>
    <xdr:sp macro="" textlink="">
      <xdr:nvSpPr>
        <xdr:cNvPr id="127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76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77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78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79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80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81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103</xdr:row>
      <xdr:rowOff>358588</xdr:rowOff>
    </xdr:from>
    <xdr:ext cx="104775" cy="157443"/>
    <xdr:sp macro="" textlink="">
      <xdr:nvSpPr>
        <xdr:cNvPr id="1282" name="Text Box 3268"/>
        <xdr:cNvSpPr txBox="1">
          <a:spLocks noChangeArrowheads="1"/>
        </xdr:cNvSpPr>
      </xdr:nvSpPr>
      <xdr:spPr bwMode="auto">
        <a:xfrm>
          <a:off x="12897970" y="4577602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83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84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85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86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87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88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89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0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1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2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3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4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5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99</xdr:row>
      <xdr:rowOff>358588</xdr:rowOff>
    </xdr:from>
    <xdr:ext cx="104775" cy="157443"/>
    <xdr:sp macro="" textlink="">
      <xdr:nvSpPr>
        <xdr:cNvPr id="1296" name="Text Box 3268"/>
        <xdr:cNvSpPr txBox="1">
          <a:spLocks noChangeArrowheads="1"/>
        </xdr:cNvSpPr>
      </xdr:nvSpPr>
      <xdr:spPr bwMode="auto">
        <a:xfrm>
          <a:off x="12897970" y="45383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97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98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299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00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01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02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03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04" name="Text Box 3268"/>
        <xdr:cNvSpPr txBox="1">
          <a:spLocks noChangeArrowheads="1"/>
        </xdr:cNvSpPr>
      </xdr:nvSpPr>
      <xdr:spPr bwMode="auto">
        <a:xfrm>
          <a:off x="12897970" y="44991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89</xdr:row>
      <xdr:rowOff>358588</xdr:rowOff>
    </xdr:from>
    <xdr:ext cx="104775" cy="157443"/>
    <xdr:sp macro="" textlink="">
      <xdr:nvSpPr>
        <xdr:cNvPr id="1305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89</xdr:row>
      <xdr:rowOff>358588</xdr:rowOff>
    </xdr:from>
    <xdr:ext cx="104775" cy="157443"/>
    <xdr:sp macro="" textlink="">
      <xdr:nvSpPr>
        <xdr:cNvPr id="1306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90</xdr:row>
      <xdr:rowOff>358588</xdr:rowOff>
    </xdr:from>
    <xdr:ext cx="104775" cy="157443"/>
    <xdr:sp macro="" textlink="">
      <xdr:nvSpPr>
        <xdr:cNvPr id="1307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89</xdr:row>
      <xdr:rowOff>358588</xdr:rowOff>
    </xdr:from>
    <xdr:ext cx="104775" cy="157443"/>
    <xdr:sp macro="" textlink="">
      <xdr:nvSpPr>
        <xdr:cNvPr id="1308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90</xdr:row>
      <xdr:rowOff>358588</xdr:rowOff>
    </xdr:from>
    <xdr:ext cx="104775" cy="157443"/>
    <xdr:sp macro="" textlink="">
      <xdr:nvSpPr>
        <xdr:cNvPr id="1309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90</xdr:row>
      <xdr:rowOff>358588</xdr:rowOff>
    </xdr:from>
    <xdr:ext cx="104775" cy="157443"/>
    <xdr:sp macro="" textlink="">
      <xdr:nvSpPr>
        <xdr:cNvPr id="1310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91</xdr:row>
      <xdr:rowOff>358588</xdr:rowOff>
    </xdr:from>
    <xdr:ext cx="104775" cy="157443"/>
    <xdr:sp macro="" textlink="">
      <xdr:nvSpPr>
        <xdr:cNvPr id="1311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90</xdr:row>
      <xdr:rowOff>358588</xdr:rowOff>
    </xdr:from>
    <xdr:ext cx="104775" cy="157443"/>
    <xdr:sp macro="" textlink="">
      <xdr:nvSpPr>
        <xdr:cNvPr id="1312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91</xdr:row>
      <xdr:rowOff>358588</xdr:rowOff>
    </xdr:from>
    <xdr:ext cx="104775" cy="157443"/>
    <xdr:sp macro="" textlink="">
      <xdr:nvSpPr>
        <xdr:cNvPr id="1313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91</xdr:row>
      <xdr:rowOff>358588</xdr:rowOff>
    </xdr:from>
    <xdr:ext cx="104775" cy="157443"/>
    <xdr:sp macro="" textlink="">
      <xdr:nvSpPr>
        <xdr:cNvPr id="1314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92</xdr:row>
      <xdr:rowOff>358588</xdr:rowOff>
    </xdr:from>
    <xdr:ext cx="104775" cy="157443"/>
    <xdr:sp macro="" textlink="">
      <xdr:nvSpPr>
        <xdr:cNvPr id="1315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91</xdr:row>
      <xdr:rowOff>358588</xdr:rowOff>
    </xdr:from>
    <xdr:ext cx="104775" cy="157443"/>
    <xdr:sp macro="" textlink="">
      <xdr:nvSpPr>
        <xdr:cNvPr id="1316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93</xdr:row>
      <xdr:rowOff>358588</xdr:rowOff>
    </xdr:from>
    <xdr:ext cx="104775" cy="157443"/>
    <xdr:sp macro="" textlink="">
      <xdr:nvSpPr>
        <xdr:cNvPr id="1317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93</xdr:row>
      <xdr:rowOff>358588</xdr:rowOff>
    </xdr:from>
    <xdr:ext cx="104775" cy="157443"/>
    <xdr:sp macro="" textlink="">
      <xdr:nvSpPr>
        <xdr:cNvPr id="1318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94</xdr:row>
      <xdr:rowOff>358588</xdr:rowOff>
    </xdr:from>
    <xdr:ext cx="104775" cy="157443"/>
    <xdr:sp macro="" textlink="">
      <xdr:nvSpPr>
        <xdr:cNvPr id="1319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93</xdr:row>
      <xdr:rowOff>358588</xdr:rowOff>
    </xdr:from>
    <xdr:ext cx="104775" cy="157443"/>
    <xdr:sp macro="" textlink="">
      <xdr:nvSpPr>
        <xdr:cNvPr id="1320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94</xdr:row>
      <xdr:rowOff>358588</xdr:rowOff>
    </xdr:from>
    <xdr:ext cx="104775" cy="157443"/>
    <xdr:sp macro="" textlink="">
      <xdr:nvSpPr>
        <xdr:cNvPr id="1321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94</xdr:row>
      <xdr:rowOff>358588</xdr:rowOff>
    </xdr:from>
    <xdr:ext cx="104775" cy="157443"/>
    <xdr:sp macro="" textlink="">
      <xdr:nvSpPr>
        <xdr:cNvPr id="1322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95</xdr:row>
      <xdr:rowOff>358588</xdr:rowOff>
    </xdr:from>
    <xdr:ext cx="104775" cy="157443"/>
    <xdr:sp macro="" textlink="">
      <xdr:nvSpPr>
        <xdr:cNvPr id="1323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94</xdr:row>
      <xdr:rowOff>358588</xdr:rowOff>
    </xdr:from>
    <xdr:ext cx="104775" cy="157443"/>
    <xdr:sp macro="" textlink="">
      <xdr:nvSpPr>
        <xdr:cNvPr id="1324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95</xdr:row>
      <xdr:rowOff>358588</xdr:rowOff>
    </xdr:from>
    <xdr:ext cx="104775" cy="157443"/>
    <xdr:sp macro="" textlink="">
      <xdr:nvSpPr>
        <xdr:cNvPr id="1325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95</xdr:row>
      <xdr:rowOff>358588</xdr:rowOff>
    </xdr:from>
    <xdr:ext cx="104775" cy="157443"/>
    <xdr:sp macro="" textlink="">
      <xdr:nvSpPr>
        <xdr:cNvPr id="1326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96</xdr:row>
      <xdr:rowOff>358588</xdr:rowOff>
    </xdr:from>
    <xdr:ext cx="104775" cy="157443"/>
    <xdr:sp macro="" textlink="">
      <xdr:nvSpPr>
        <xdr:cNvPr id="1327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95</xdr:row>
      <xdr:rowOff>358588</xdr:rowOff>
    </xdr:from>
    <xdr:ext cx="104775" cy="157443"/>
    <xdr:sp macro="" textlink="">
      <xdr:nvSpPr>
        <xdr:cNvPr id="1328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96</xdr:row>
      <xdr:rowOff>358588</xdr:rowOff>
    </xdr:from>
    <xdr:ext cx="104775" cy="157443"/>
    <xdr:sp macro="" textlink="">
      <xdr:nvSpPr>
        <xdr:cNvPr id="1329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96</xdr:row>
      <xdr:rowOff>358588</xdr:rowOff>
    </xdr:from>
    <xdr:ext cx="104775" cy="157443"/>
    <xdr:sp macro="" textlink="">
      <xdr:nvSpPr>
        <xdr:cNvPr id="1330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97</xdr:row>
      <xdr:rowOff>358588</xdr:rowOff>
    </xdr:from>
    <xdr:ext cx="104775" cy="157443"/>
    <xdr:sp macro="" textlink="">
      <xdr:nvSpPr>
        <xdr:cNvPr id="1331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96</xdr:row>
      <xdr:rowOff>358588</xdr:rowOff>
    </xdr:from>
    <xdr:ext cx="104775" cy="157443"/>
    <xdr:sp macro="" textlink="">
      <xdr:nvSpPr>
        <xdr:cNvPr id="1332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97</xdr:row>
      <xdr:rowOff>358588</xdr:rowOff>
    </xdr:from>
    <xdr:ext cx="104775" cy="157443"/>
    <xdr:sp macro="" textlink="">
      <xdr:nvSpPr>
        <xdr:cNvPr id="1333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97</xdr:row>
      <xdr:rowOff>358588</xdr:rowOff>
    </xdr:from>
    <xdr:ext cx="104775" cy="157443"/>
    <xdr:sp macro="" textlink="">
      <xdr:nvSpPr>
        <xdr:cNvPr id="1334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98</xdr:row>
      <xdr:rowOff>358588</xdr:rowOff>
    </xdr:from>
    <xdr:ext cx="104775" cy="157443"/>
    <xdr:sp macro="" textlink="">
      <xdr:nvSpPr>
        <xdr:cNvPr id="1335" name="Text Box 3268"/>
        <xdr:cNvSpPr txBox="1">
          <a:spLocks noChangeArrowheads="1"/>
        </xdr:cNvSpPr>
      </xdr:nvSpPr>
      <xdr:spPr bwMode="auto">
        <a:xfrm>
          <a:off x="12897970" y="37741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97</xdr:row>
      <xdr:rowOff>358588</xdr:rowOff>
    </xdr:from>
    <xdr:ext cx="104775" cy="157443"/>
    <xdr:sp macro="" textlink="">
      <xdr:nvSpPr>
        <xdr:cNvPr id="1336" name="Text Box 3268"/>
        <xdr:cNvSpPr txBox="1">
          <a:spLocks noChangeArrowheads="1"/>
        </xdr:cNvSpPr>
      </xdr:nvSpPr>
      <xdr:spPr bwMode="auto">
        <a:xfrm>
          <a:off x="12897970" y="37248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37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38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39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0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1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2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3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4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5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6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7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8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49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50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51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52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53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54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154</xdr:row>
      <xdr:rowOff>358588</xdr:rowOff>
    </xdr:from>
    <xdr:ext cx="104775" cy="157443"/>
    <xdr:sp macro="" textlink="">
      <xdr:nvSpPr>
        <xdr:cNvPr id="1355" name="Text Box 3268"/>
        <xdr:cNvSpPr txBox="1">
          <a:spLocks noChangeArrowheads="1"/>
        </xdr:cNvSpPr>
      </xdr:nvSpPr>
      <xdr:spPr bwMode="auto">
        <a:xfrm>
          <a:off x="13010028" y="43579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56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57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58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59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0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1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2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3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4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5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6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7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8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69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70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71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155</xdr:row>
      <xdr:rowOff>358588</xdr:rowOff>
    </xdr:from>
    <xdr:ext cx="104775" cy="157443"/>
    <xdr:sp macro="" textlink="">
      <xdr:nvSpPr>
        <xdr:cNvPr id="1372" name="Text Box 3268"/>
        <xdr:cNvSpPr txBox="1">
          <a:spLocks noChangeArrowheads="1"/>
        </xdr:cNvSpPr>
      </xdr:nvSpPr>
      <xdr:spPr bwMode="auto">
        <a:xfrm>
          <a:off x="13010028" y="43960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3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4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5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6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7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8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79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0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1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2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3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4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5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6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7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8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89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0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391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2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3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4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5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6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7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8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399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0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1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2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3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4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5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6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7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8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09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0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1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2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3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4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5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6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7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8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19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0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1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2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3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4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5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26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27" name="Text Box 3268"/>
        <xdr:cNvSpPr txBox="1">
          <a:spLocks noChangeArrowheads="1"/>
        </xdr:cNvSpPr>
      </xdr:nvSpPr>
      <xdr:spPr bwMode="auto">
        <a:xfrm>
          <a:off x="13010028" y="67739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28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29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0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1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2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3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4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152</xdr:row>
      <xdr:rowOff>358588</xdr:rowOff>
    </xdr:from>
    <xdr:ext cx="104775" cy="157443"/>
    <xdr:sp macro="" textlink="">
      <xdr:nvSpPr>
        <xdr:cNvPr id="1435" name="Text Box 3268"/>
        <xdr:cNvSpPr txBox="1">
          <a:spLocks noChangeArrowheads="1"/>
        </xdr:cNvSpPr>
      </xdr:nvSpPr>
      <xdr:spPr bwMode="auto">
        <a:xfrm>
          <a:off x="13010028" y="68176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151</xdr:row>
      <xdr:rowOff>78441</xdr:rowOff>
    </xdr:from>
    <xdr:ext cx="104775" cy="157443"/>
    <xdr:sp macro="" textlink="">
      <xdr:nvSpPr>
        <xdr:cNvPr id="1440" name="Text Box 3268"/>
        <xdr:cNvSpPr txBox="1">
          <a:spLocks noChangeArrowheads="1"/>
        </xdr:cNvSpPr>
      </xdr:nvSpPr>
      <xdr:spPr bwMode="auto">
        <a:xfrm>
          <a:off x="12808322" y="66092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152</xdr:row>
      <xdr:rowOff>190500</xdr:rowOff>
    </xdr:from>
    <xdr:ext cx="104775" cy="157443"/>
    <xdr:sp macro="" textlink="">
      <xdr:nvSpPr>
        <xdr:cNvPr id="1444" name="Text Box 3268"/>
        <xdr:cNvSpPr txBox="1">
          <a:spLocks noChangeArrowheads="1"/>
        </xdr:cNvSpPr>
      </xdr:nvSpPr>
      <xdr:spPr bwMode="auto">
        <a:xfrm>
          <a:off x="13021233" y="66697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4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4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4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4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4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5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6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7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0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150</xdr:row>
      <xdr:rowOff>358588</xdr:rowOff>
    </xdr:from>
    <xdr:ext cx="104775" cy="157443"/>
    <xdr:sp macro="" textlink="">
      <xdr:nvSpPr>
        <xdr:cNvPr id="148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2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3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4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5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6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7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8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151</xdr:row>
      <xdr:rowOff>358588</xdr:rowOff>
    </xdr:from>
    <xdr:ext cx="104775" cy="157443"/>
    <xdr:sp macro="" textlink="">
      <xdr:nvSpPr>
        <xdr:cNvPr id="1489" name="Text Box 3268"/>
        <xdr:cNvSpPr txBox="1">
          <a:spLocks noChangeArrowheads="1"/>
        </xdr:cNvSpPr>
      </xdr:nvSpPr>
      <xdr:spPr bwMode="auto">
        <a:xfrm>
          <a:off x="13010028" y="66865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151</xdr:row>
      <xdr:rowOff>190500</xdr:rowOff>
    </xdr:from>
    <xdr:ext cx="104775" cy="157443"/>
    <xdr:sp macro="" textlink="">
      <xdr:nvSpPr>
        <xdr:cNvPr id="1490" name="Text Box 3268"/>
        <xdr:cNvSpPr txBox="1">
          <a:spLocks noChangeArrowheads="1"/>
        </xdr:cNvSpPr>
      </xdr:nvSpPr>
      <xdr:spPr bwMode="auto">
        <a:xfrm>
          <a:off x="13021233" y="66697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49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0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0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1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2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3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4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4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4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4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4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120</xdr:row>
      <xdr:rowOff>78441</xdr:rowOff>
    </xdr:from>
    <xdr:ext cx="104775" cy="157443"/>
    <xdr:sp macro="" textlink="">
      <xdr:nvSpPr>
        <xdr:cNvPr id="1545" name="Text Box 3268"/>
        <xdr:cNvSpPr txBox="1">
          <a:spLocks noChangeArrowheads="1"/>
        </xdr:cNvSpPr>
      </xdr:nvSpPr>
      <xdr:spPr bwMode="auto">
        <a:xfrm>
          <a:off x="12808322" y="66092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4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4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4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4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5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6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7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8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119</xdr:row>
      <xdr:rowOff>358588</xdr:rowOff>
    </xdr:from>
    <xdr:ext cx="104775" cy="157443"/>
    <xdr:sp macro="" textlink="">
      <xdr:nvSpPr>
        <xdr:cNvPr id="158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8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120</xdr:row>
      <xdr:rowOff>190500</xdr:rowOff>
    </xdr:from>
    <xdr:ext cx="104775" cy="157443"/>
    <xdr:sp macro="" textlink="">
      <xdr:nvSpPr>
        <xdr:cNvPr id="1591" name="Text Box 3268"/>
        <xdr:cNvSpPr txBox="1">
          <a:spLocks noChangeArrowheads="1"/>
        </xdr:cNvSpPr>
      </xdr:nvSpPr>
      <xdr:spPr bwMode="auto">
        <a:xfrm>
          <a:off x="13021233" y="66204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59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0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0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1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1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2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3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4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121</xdr:row>
      <xdr:rowOff>78441</xdr:rowOff>
    </xdr:from>
    <xdr:ext cx="104775" cy="157443"/>
    <xdr:sp macro="" textlink="">
      <xdr:nvSpPr>
        <xdr:cNvPr id="1646" name="Text Box 3268"/>
        <xdr:cNvSpPr txBox="1">
          <a:spLocks noChangeArrowheads="1"/>
        </xdr:cNvSpPr>
      </xdr:nvSpPr>
      <xdr:spPr bwMode="auto">
        <a:xfrm>
          <a:off x="12808322" y="66092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4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4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4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5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6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7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8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8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120</xdr:row>
      <xdr:rowOff>358588</xdr:rowOff>
    </xdr:from>
    <xdr:ext cx="104775" cy="157443"/>
    <xdr:sp macro="" textlink="">
      <xdr:nvSpPr>
        <xdr:cNvPr id="168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8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121</xdr:row>
      <xdr:rowOff>190500</xdr:rowOff>
    </xdr:from>
    <xdr:ext cx="104775" cy="157443"/>
    <xdr:sp macro="" textlink="">
      <xdr:nvSpPr>
        <xdr:cNvPr id="1692" name="Text Box 3268"/>
        <xdr:cNvSpPr txBox="1">
          <a:spLocks noChangeArrowheads="1"/>
        </xdr:cNvSpPr>
      </xdr:nvSpPr>
      <xdr:spPr bwMode="auto">
        <a:xfrm>
          <a:off x="13021233" y="66204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69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0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1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1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2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3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4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4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122</xdr:row>
      <xdr:rowOff>78441</xdr:rowOff>
    </xdr:from>
    <xdr:ext cx="104775" cy="157443"/>
    <xdr:sp macro="" textlink="">
      <xdr:nvSpPr>
        <xdr:cNvPr id="1747" name="Text Box 3268"/>
        <xdr:cNvSpPr txBox="1">
          <a:spLocks noChangeArrowheads="1"/>
        </xdr:cNvSpPr>
      </xdr:nvSpPr>
      <xdr:spPr bwMode="auto">
        <a:xfrm>
          <a:off x="12808322" y="660922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4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4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5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6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7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8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8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8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3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121</xdr:row>
      <xdr:rowOff>358588</xdr:rowOff>
    </xdr:from>
    <xdr:ext cx="104775" cy="157443"/>
    <xdr:sp macro="" textlink="">
      <xdr:nvSpPr>
        <xdr:cNvPr id="178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5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6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7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8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89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90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91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122</xdr:row>
      <xdr:rowOff>358588</xdr:rowOff>
    </xdr:from>
    <xdr:ext cx="104775" cy="157443"/>
    <xdr:sp macro="" textlink="">
      <xdr:nvSpPr>
        <xdr:cNvPr id="1792" name="Text Box 3268"/>
        <xdr:cNvSpPr txBox="1">
          <a:spLocks noChangeArrowheads="1"/>
        </xdr:cNvSpPr>
      </xdr:nvSpPr>
      <xdr:spPr bwMode="auto">
        <a:xfrm>
          <a:off x="13010028" y="663724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122</xdr:row>
      <xdr:rowOff>190500</xdr:rowOff>
    </xdr:from>
    <xdr:ext cx="104775" cy="157443"/>
    <xdr:sp macro="" textlink="">
      <xdr:nvSpPr>
        <xdr:cNvPr id="1793" name="Text Box 3268"/>
        <xdr:cNvSpPr txBox="1">
          <a:spLocks noChangeArrowheads="1"/>
        </xdr:cNvSpPr>
      </xdr:nvSpPr>
      <xdr:spPr bwMode="auto">
        <a:xfrm>
          <a:off x="13021233" y="662043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8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799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0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1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2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3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8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09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0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1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2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3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8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19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0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1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2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3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8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29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0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1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2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3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8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39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0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1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2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3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4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5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6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123</xdr:row>
      <xdr:rowOff>358588</xdr:rowOff>
    </xdr:from>
    <xdr:ext cx="104775" cy="157443"/>
    <xdr:sp macro="" textlink="">
      <xdr:nvSpPr>
        <xdr:cNvPr id="1847" name="Text Box 3268"/>
        <xdr:cNvSpPr txBox="1">
          <a:spLocks noChangeArrowheads="1"/>
        </xdr:cNvSpPr>
      </xdr:nvSpPr>
      <xdr:spPr bwMode="auto">
        <a:xfrm>
          <a:off x="13010028" y="51849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124</xdr:row>
      <xdr:rowOff>78441</xdr:rowOff>
    </xdr:from>
    <xdr:ext cx="104775" cy="157443"/>
    <xdr:sp macro="" textlink="">
      <xdr:nvSpPr>
        <xdr:cNvPr id="1884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124</xdr:row>
      <xdr:rowOff>190500</xdr:rowOff>
    </xdr:from>
    <xdr:ext cx="104775" cy="157443"/>
    <xdr:sp macro="" textlink="">
      <xdr:nvSpPr>
        <xdr:cNvPr id="1894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8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124</xdr:row>
      <xdr:rowOff>358588</xdr:rowOff>
    </xdr:from>
    <xdr:ext cx="104775" cy="157443"/>
    <xdr:sp macro="" textlink="">
      <xdr:nvSpPr>
        <xdr:cNvPr id="19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125</xdr:row>
      <xdr:rowOff>78441</xdr:rowOff>
    </xdr:from>
    <xdr:ext cx="104775" cy="157443"/>
    <xdr:sp macro="" textlink="">
      <xdr:nvSpPr>
        <xdr:cNvPr id="1985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125</xdr:row>
      <xdr:rowOff>190500</xdr:rowOff>
    </xdr:from>
    <xdr:ext cx="104775" cy="157443"/>
    <xdr:sp macro="" textlink="">
      <xdr:nvSpPr>
        <xdr:cNvPr id="1995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19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125</xdr:row>
      <xdr:rowOff>358588</xdr:rowOff>
    </xdr:from>
    <xdr:ext cx="104775" cy="157443"/>
    <xdr:sp macro="" textlink="">
      <xdr:nvSpPr>
        <xdr:cNvPr id="20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126</xdr:row>
      <xdr:rowOff>78441</xdr:rowOff>
    </xdr:from>
    <xdr:ext cx="104775" cy="157443"/>
    <xdr:sp macro="" textlink="">
      <xdr:nvSpPr>
        <xdr:cNvPr id="2086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126</xdr:row>
      <xdr:rowOff>190500</xdr:rowOff>
    </xdr:from>
    <xdr:ext cx="104775" cy="157443"/>
    <xdr:sp macro="" textlink="">
      <xdr:nvSpPr>
        <xdr:cNvPr id="2096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0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126</xdr:row>
      <xdr:rowOff>358588</xdr:rowOff>
    </xdr:from>
    <xdr:ext cx="104775" cy="157443"/>
    <xdr:sp macro="" textlink="">
      <xdr:nvSpPr>
        <xdr:cNvPr id="21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127</xdr:row>
      <xdr:rowOff>78441</xdr:rowOff>
    </xdr:from>
    <xdr:ext cx="104775" cy="157443"/>
    <xdr:sp macro="" textlink="">
      <xdr:nvSpPr>
        <xdr:cNvPr id="2187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127</xdr:row>
      <xdr:rowOff>190500</xdr:rowOff>
    </xdr:from>
    <xdr:ext cx="104775" cy="157443"/>
    <xdr:sp macro="" textlink="">
      <xdr:nvSpPr>
        <xdr:cNvPr id="2197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1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127</xdr:row>
      <xdr:rowOff>358588</xdr:rowOff>
    </xdr:from>
    <xdr:ext cx="104775" cy="157443"/>
    <xdr:sp macro="" textlink="">
      <xdr:nvSpPr>
        <xdr:cNvPr id="22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128</xdr:row>
      <xdr:rowOff>78441</xdr:rowOff>
    </xdr:from>
    <xdr:ext cx="104775" cy="157443"/>
    <xdr:sp macro="" textlink="">
      <xdr:nvSpPr>
        <xdr:cNvPr id="2288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128</xdr:row>
      <xdr:rowOff>190500</xdr:rowOff>
    </xdr:from>
    <xdr:ext cx="104775" cy="157443"/>
    <xdr:sp macro="" textlink="">
      <xdr:nvSpPr>
        <xdr:cNvPr id="2298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2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128</xdr:row>
      <xdr:rowOff>358588</xdr:rowOff>
    </xdr:from>
    <xdr:ext cx="104775" cy="157443"/>
    <xdr:sp macro="" textlink="">
      <xdr:nvSpPr>
        <xdr:cNvPr id="23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129</xdr:row>
      <xdr:rowOff>78441</xdr:rowOff>
    </xdr:from>
    <xdr:ext cx="104775" cy="157443"/>
    <xdr:sp macro="" textlink="">
      <xdr:nvSpPr>
        <xdr:cNvPr id="2389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3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129</xdr:row>
      <xdr:rowOff>190500</xdr:rowOff>
    </xdr:from>
    <xdr:ext cx="104775" cy="157443"/>
    <xdr:sp macro="" textlink="">
      <xdr:nvSpPr>
        <xdr:cNvPr id="2399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129</xdr:row>
      <xdr:rowOff>358588</xdr:rowOff>
    </xdr:from>
    <xdr:ext cx="104775" cy="157443"/>
    <xdr:sp macro="" textlink="">
      <xdr:nvSpPr>
        <xdr:cNvPr id="24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130</xdr:row>
      <xdr:rowOff>78441</xdr:rowOff>
    </xdr:from>
    <xdr:ext cx="104775" cy="157443"/>
    <xdr:sp macro="" textlink="">
      <xdr:nvSpPr>
        <xdr:cNvPr id="2490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4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130</xdr:row>
      <xdr:rowOff>190500</xdr:rowOff>
    </xdr:from>
    <xdr:ext cx="104775" cy="157443"/>
    <xdr:sp macro="" textlink="">
      <xdr:nvSpPr>
        <xdr:cNvPr id="2500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130</xdr:row>
      <xdr:rowOff>358588</xdr:rowOff>
    </xdr:from>
    <xdr:ext cx="104775" cy="157443"/>
    <xdr:sp macro="" textlink="">
      <xdr:nvSpPr>
        <xdr:cNvPr id="25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131</xdr:row>
      <xdr:rowOff>78441</xdr:rowOff>
    </xdr:from>
    <xdr:ext cx="104775" cy="157443"/>
    <xdr:sp macro="" textlink="">
      <xdr:nvSpPr>
        <xdr:cNvPr id="2591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5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131</xdr:row>
      <xdr:rowOff>190500</xdr:rowOff>
    </xdr:from>
    <xdr:ext cx="104775" cy="157443"/>
    <xdr:sp macro="" textlink="">
      <xdr:nvSpPr>
        <xdr:cNvPr id="2601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131</xdr:row>
      <xdr:rowOff>358588</xdr:rowOff>
    </xdr:from>
    <xdr:ext cx="104775" cy="157443"/>
    <xdr:sp macro="" textlink="">
      <xdr:nvSpPr>
        <xdr:cNvPr id="26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5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5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5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6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7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8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132</xdr:row>
      <xdr:rowOff>78441</xdr:rowOff>
    </xdr:from>
    <xdr:ext cx="104775" cy="157443"/>
    <xdr:sp macro="" textlink="">
      <xdr:nvSpPr>
        <xdr:cNvPr id="2692" name="Text Box 3268"/>
        <xdr:cNvSpPr txBox="1">
          <a:spLocks noChangeArrowheads="1"/>
        </xdr:cNvSpPr>
      </xdr:nvSpPr>
      <xdr:spPr bwMode="auto">
        <a:xfrm>
          <a:off x="12808322" y="52174588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69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132</xdr:row>
      <xdr:rowOff>190500</xdr:rowOff>
    </xdr:from>
    <xdr:ext cx="104775" cy="157443"/>
    <xdr:sp macro="" textlink="">
      <xdr:nvSpPr>
        <xdr:cNvPr id="2702" name="Text Box 3268"/>
        <xdr:cNvSpPr txBox="1">
          <a:spLocks noChangeArrowheads="1"/>
        </xdr:cNvSpPr>
      </xdr:nvSpPr>
      <xdr:spPr bwMode="auto">
        <a:xfrm>
          <a:off x="13021233" y="5228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0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1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2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3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7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8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49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0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1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2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3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4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5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132</xdr:row>
      <xdr:rowOff>358588</xdr:rowOff>
    </xdr:from>
    <xdr:ext cx="104775" cy="157443"/>
    <xdr:sp macro="" textlink="">
      <xdr:nvSpPr>
        <xdr:cNvPr id="2756" name="Text Box 3268"/>
        <xdr:cNvSpPr txBox="1">
          <a:spLocks noChangeArrowheads="1"/>
        </xdr:cNvSpPr>
      </xdr:nvSpPr>
      <xdr:spPr bwMode="auto">
        <a:xfrm>
          <a:off x="13010028" y="52454735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5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5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5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6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7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8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79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1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2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3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4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5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6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7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8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09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0" name="Text Box 3268"/>
        <xdr:cNvSpPr txBox="1">
          <a:spLocks noChangeArrowheads="1"/>
        </xdr:cNvSpPr>
      </xdr:nvSpPr>
      <xdr:spPr bwMode="auto">
        <a:xfrm>
          <a:off x="13010028" y="659578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1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2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3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4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5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6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7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8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89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133</xdr:row>
      <xdr:rowOff>358588</xdr:rowOff>
    </xdr:from>
    <xdr:ext cx="104775" cy="157443"/>
    <xdr:sp macro="" textlink="">
      <xdr:nvSpPr>
        <xdr:cNvPr id="290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1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2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3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134</xdr:row>
      <xdr:rowOff>78441</xdr:rowOff>
    </xdr:from>
    <xdr:ext cx="104775" cy="157443"/>
    <xdr:sp macro="" textlink="">
      <xdr:nvSpPr>
        <xdr:cNvPr id="2946" name="Text Box 3268"/>
        <xdr:cNvSpPr txBox="1">
          <a:spLocks noChangeArrowheads="1"/>
        </xdr:cNvSpPr>
      </xdr:nvSpPr>
      <xdr:spPr bwMode="auto">
        <a:xfrm>
          <a:off x="12808322" y="56802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4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134</xdr:row>
      <xdr:rowOff>190500</xdr:rowOff>
    </xdr:from>
    <xdr:ext cx="104775" cy="157443"/>
    <xdr:sp macro="" textlink="">
      <xdr:nvSpPr>
        <xdr:cNvPr id="2956" name="Text Box 3268"/>
        <xdr:cNvSpPr txBox="1">
          <a:spLocks noChangeArrowheads="1"/>
        </xdr:cNvSpPr>
      </xdr:nvSpPr>
      <xdr:spPr bwMode="auto">
        <a:xfrm>
          <a:off x="13021233" y="56914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5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6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7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8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299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0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1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2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3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4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5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6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7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8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09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0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1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2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3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4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5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6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7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8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134</xdr:row>
      <xdr:rowOff>358588</xdr:rowOff>
    </xdr:from>
    <xdr:ext cx="104775" cy="157443"/>
    <xdr:sp macro="" textlink="">
      <xdr:nvSpPr>
        <xdr:cNvPr id="3109" name="Text Box 3268"/>
        <xdr:cNvSpPr txBox="1">
          <a:spLocks noChangeArrowheads="1"/>
        </xdr:cNvSpPr>
      </xdr:nvSpPr>
      <xdr:spPr bwMode="auto">
        <a:xfrm>
          <a:off x="13010028" y="566681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1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2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3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135</xdr:row>
      <xdr:rowOff>78441</xdr:rowOff>
    </xdr:from>
    <xdr:ext cx="104775" cy="157443"/>
    <xdr:sp macro="" textlink="">
      <xdr:nvSpPr>
        <xdr:cNvPr id="3146" name="Text Box 3268"/>
        <xdr:cNvSpPr txBox="1">
          <a:spLocks noChangeArrowheads="1"/>
        </xdr:cNvSpPr>
      </xdr:nvSpPr>
      <xdr:spPr bwMode="auto">
        <a:xfrm>
          <a:off x="12808322" y="5680261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4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135</xdr:row>
      <xdr:rowOff>190500</xdr:rowOff>
    </xdr:from>
    <xdr:ext cx="104775" cy="157443"/>
    <xdr:sp macro="" textlink="">
      <xdr:nvSpPr>
        <xdr:cNvPr id="3156" name="Text Box 3268"/>
        <xdr:cNvSpPr txBox="1">
          <a:spLocks noChangeArrowheads="1"/>
        </xdr:cNvSpPr>
      </xdr:nvSpPr>
      <xdr:spPr bwMode="auto">
        <a:xfrm>
          <a:off x="13021233" y="569146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5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6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7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8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19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1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2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3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4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5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6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7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8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09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0" name="Text Box 3268"/>
        <xdr:cNvSpPr txBox="1">
          <a:spLocks noChangeArrowheads="1"/>
        </xdr:cNvSpPr>
      </xdr:nvSpPr>
      <xdr:spPr bwMode="auto">
        <a:xfrm>
          <a:off x="13010028" y="5708276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1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2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3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4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5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6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7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8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29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0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1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2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3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4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5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6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7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8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135</xdr:row>
      <xdr:rowOff>358588</xdr:rowOff>
    </xdr:from>
    <xdr:ext cx="104775" cy="157443"/>
    <xdr:sp macro="" textlink="">
      <xdr:nvSpPr>
        <xdr:cNvPr id="3309" name="Text Box 3268"/>
        <xdr:cNvSpPr txBox="1">
          <a:spLocks noChangeArrowheads="1"/>
        </xdr:cNvSpPr>
      </xdr:nvSpPr>
      <xdr:spPr bwMode="auto">
        <a:xfrm>
          <a:off x="13010028" y="580464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1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2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3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4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5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6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7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8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39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0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1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2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3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4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3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4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5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6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7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8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59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60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61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136</xdr:row>
      <xdr:rowOff>358588</xdr:rowOff>
    </xdr:from>
    <xdr:ext cx="104775" cy="157443"/>
    <xdr:sp macro="" textlink="">
      <xdr:nvSpPr>
        <xdr:cNvPr id="3462" name="Text Box 3268"/>
        <xdr:cNvSpPr txBox="1">
          <a:spLocks noChangeArrowheads="1"/>
        </xdr:cNvSpPr>
      </xdr:nvSpPr>
      <xdr:spPr bwMode="auto">
        <a:xfrm>
          <a:off x="13010028" y="5852832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6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7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8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49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137</xdr:row>
      <xdr:rowOff>78441</xdr:rowOff>
    </xdr:from>
    <xdr:ext cx="104775" cy="157443"/>
    <xdr:sp macro="" textlink="">
      <xdr:nvSpPr>
        <xdr:cNvPr id="3499" name="Text Box 3268"/>
        <xdr:cNvSpPr txBox="1">
          <a:spLocks noChangeArrowheads="1"/>
        </xdr:cNvSpPr>
      </xdr:nvSpPr>
      <xdr:spPr bwMode="auto">
        <a:xfrm>
          <a:off x="12808322" y="58662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0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137</xdr:row>
      <xdr:rowOff>190500</xdr:rowOff>
    </xdr:from>
    <xdr:ext cx="104775" cy="157443"/>
    <xdr:sp macro="" textlink="">
      <xdr:nvSpPr>
        <xdr:cNvPr id="3509" name="Text Box 3268"/>
        <xdr:cNvSpPr txBox="1">
          <a:spLocks noChangeArrowheads="1"/>
        </xdr:cNvSpPr>
      </xdr:nvSpPr>
      <xdr:spPr bwMode="auto">
        <a:xfrm>
          <a:off x="13021233" y="58774853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1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2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3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4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5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6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7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8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59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0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1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2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3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4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3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4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5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6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7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8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59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60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61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137</xdr:row>
      <xdr:rowOff>358588</xdr:rowOff>
    </xdr:from>
    <xdr:ext cx="104775" cy="157443"/>
    <xdr:sp macro="" textlink="">
      <xdr:nvSpPr>
        <xdr:cNvPr id="3662" name="Text Box 3268"/>
        <xdr:cNvSpPr txBox="1">
          <a:spLocks noChangeArrowheads="1"/>
        </xdr:cNvSpPr>
      </xdr:nvSpPr>
      <xdr:spPr bwMode="auto">
        <a:xfrm>
          <a:off x="13010028" y="5894294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6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7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8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69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138</xdr:row>
      <xdr:rowOff>78441</xdr:rowOff>
    </xdr:from>
    <xdr:ext cx="104775" cy="157443"/>
    <xdr:sp macro="" textlink="">
      <xdr:nvSpPr>
        <xdr:cNvPr id="3699" name="Text Box 3268"/>
        <xdr:cNvSpPr txBox="1">
          <a:spLocks noChangeArrowheads="1"/>
        </xdr:cNvSpPr>
      </xdr:nvSpPr>
      <xdr:spPr bwMode="auto">
        <a:xfrm>
          <a:off x="12808322" y="59077412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0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138</xdr:row>
      <xdr:rowOff>190500</xdr:rowOff>
    </xdr:from>
    <xdr:ext cx="104775" cy="157443"/>
    <xdr:sp macro="" textlink="">
      <xdr:nvSpPr>
        <xdr:cNvPr id="3709" name="Text Box 3268"/>
        <xdr:cNvSpPr txBox="1">
          <a:spLocks noChangeArrowheads="1"/>
        </xdr:cNvSpPr>
      </xdr:nvSpPr>
      <xdr:spPr bwMode="auto">
        <a:xfrm>
          <a:off x="13021233" y="59189471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1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2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3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4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5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6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6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6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376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6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7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8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79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0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1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2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3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4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5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6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7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8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89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0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1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2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3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4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5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6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396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6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7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8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399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0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1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2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3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4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5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6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7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8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09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0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1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1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1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1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143</xdr:row>
      <xdr:rowOff>358588</xdr:rowOff>
    </xdr:from>
    <xdr:ext cx="104775" cy="157443"/>
    <xdr:sp macro="" textlink="">
      <xdr:nvSpPr>
        <xdr:cNvPr id="411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1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1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1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1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1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2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3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4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144</xdr:row>
      <xdr:rowOff>78441</xdr:rowOff>
    </xdr:from>
    <xdr:ext cx="104775" cy="157443"/>
    <xdr:sp macro="" textlink="">
      <xdr:nvSpPr>
        <xdr:cNvPr id="4151" name="Text Box 3268"/>
        <xdr:cNvSpPr txBox="1">
          <a:spLocks noChangeArrowheads="1"/>
        </xdr:cNvSpPr>
      </xdr:nvSpPr>
      <xdr:spPr bwMode="auto">
        <a:xfrm>
          <a:off x="12808322" y="5990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5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144</xdr:row>
      <xdr:rowOff>190500</xdr:rowOff>
    </xdr:from>
    <xdr:ext cx="104775" cy="157443"/>
    <xdr:sp macro="" textlink="">
      <xdr:nvSpPr>
        <xdr:cNvPr id="4161" name="Text Box 3268"/>
        <xdr:cNvSpPr txBox="1">
          <a:spLocks noChangeArrowheads="1"/>
        </xdr:cNvSpPr>
      </xdr:nvSpPr>
      <xdr:spPr bwMode="auto">
        <a:xfrm>
          <a:off x="13021233" y="6001870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6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7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8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19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0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1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2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3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4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5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6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7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8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29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0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1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1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1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1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144</xdr:row>
      <xdr:rowOff>358588</xdr:rowOff>
    </xdr:from>
    <xdr:ext cx="104775" cy="157443"/>
    <xdr:sp macro="" textlink="">
      <xdr:nvSpPr>
        <xdr:cNvPr id="431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1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1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1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1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1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2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3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4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145</xdr:row>
      <xdr:rowOff>78441</xdr:rowOff>
    </xdr:from>
    <xdr:ext cx="104775" cy="157443"/>
    <xdr:sp macro="" textlink="">
      <xdr:nvSpPr>
        <xdr:cNvPr id="4351" name="Text Box 3268"/>
        <xdr:cNvSpPr txBox="1">
          <a:spLocks noChangeArrowheads="1"/>
        </xdr:cNvSpPr>
      </xdr:nvSpPr>
      <xdr:spPr bwMode="auto">
        <a:xfrm>
          <a:off x="12808322" y="60388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5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145</xdr:row>
      <xdr:rowOff>190500</xdr:rowOff>
    </xdr:from>
    <xdr:ext cx="104775" cy="157443"/>
    <xdr:sp macro="" textlink="">
      <xdr:nvSpPr>
        <xdr:cNvPr id="4361" name="Text Box 3268"/>
        <xdr:cNvSpPr txBox="1">
          <a:spLocks noChangeArrowheads="1"/>
        </xdr:cNvSpPr>
      </xdr:nvSpPr>
      <xdr:spPr bwMode="auto">
        <a:xfrm>
          <a:off x="13021233" y="6050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6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7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8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39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0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145</xdr:row>
      <xdr:rowOff>358588</xdr:rowOff>
    </xdr:from>
    <xdr:ext cx="104775" cy="157443"/>
    <xdr:sp macro="" textlink="">
      <xdr:nvSpPr>
        <xdr:cNvPr id="441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1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1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1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1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2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3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4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5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6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7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8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49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0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1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2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3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4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5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6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7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8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59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4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5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6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7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8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09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10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11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12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4613" name="Text Box 3268"/>
        <xdr:cNvSpPr txBox="1">
          <a:spLocks noChangeArrowheads="1"/>
        </xdr:cNvSpPr>
      </xdr:nvSpPr>
      <xdr:spPr bwMode="auto">
        <a:xfrm>
          <a:off x="13010028" y="59357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1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2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3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4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5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6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7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8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69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0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1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2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3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4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7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8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59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0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1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2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3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4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5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140</xdr:row>
      <xdr:rowOff>358588</xdr:rowOff>
    </xdr:from>
    <xdr:ext cx="104775" cy="157443"/>
    <xdr:sp macro="" textlink="">
      <xdr:nvSpPr>
        <xdr:cNvPr id="4766" name="Text Box 3268"/>
        <xdr:cNvSpPr txBox="1">
          <a:spLocks noChangeArrowheads="1"/>
        </xdr:cNvSpPr>
      </xdr:nvSpPr>
      <xdr:spPr bwMode="auto">
        <a:xfrm>
          <a:off x="13010028" y="5977217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6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6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6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7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8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79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141</xdr:row>
      <xdr:rowOff>78441</xdr:rowOff>
    </xdr:from>
    <xdr:ext cx="104775" cy="157443"/>
    <xdr:sp macro="" textlink="">
      <xdr:nvSpPr>
        <xdr:cNvPr id="4803" name="Text Box 3268"/>
        <xdr:cNvSpPr txBox="1">
          <a:spLocks noChangeArrowheads="1"/>
        </xdr:cNvSpPr>
      </xdr:nvSpPr>
      <xdr:spPr bwMode="auto">
        <a:xfrm>
          <a:off x="12808322" y="59906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0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141</xdr:row>
      <xdr:rowOff>190500</xdr:rowOff>
    </xdr:from>
    <xdr:ext cx="104775" cy="157443"/>
    <xdr:sp macro="" textlink="">
      <xdr:nvSpPr>
        <xdr:cNvPr id="4813" name="Text Box 3268"/>
        <xdr:cNvSpPr txBox="1">
          <a:spLocks noChangeArrowheads="1"/>
        </xdr:cNvSpPr>
      </xdr:nvSpPr>
      <xdr:spPr bwMode="auto">
        <a:xfrm>
          <a:off x="13021233" y="60018706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1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2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3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4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5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6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7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8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89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0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1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2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3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4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7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8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59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0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1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2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3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4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5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141</xdr:row>
      <xdr:rowOff>358588</xdr:rowOff>
    </xdr:from>
    <xdr:ext cx="104775" cy="157443"/>
    <xdr:sp macro="" textlink="">
      <xdr:nvSpPr>
        <xdr:cNvPr id="4966" name="Text Box 3268"/>
        <xdr:cNvSpPr txBox="1">
          <a:spLocks noChangeArrowheads="1"/>
        </xdr:cNvSpPr>
      </xdr:nvSpPr>
      <xdr:spPr bwMode="auto">
        <a:xfrm>
          <a:off x="13010028" y="60186794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6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6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6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7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8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499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1030940</xdr:colOff>
      <xdr:row>142</xdr:row>
      <xdr:rowOff>78441</xdr:rowOff>
    </xdr:from>
    <xdr:ext cx="104775" cy="157443"/>
    <xdr:sp macro="" textlink="">
      <xdr:nvSpPr>
        <xdr:cNvPr id="5003" name="Text Box 3268"/>
        <xdr:cNvSpPr txBox="1">
          <a:spLocks noChangeArrowheads="1"/>
        </xdr:cNvSpPr>
      </xdr:nvSpPr>
      <xdr:spPr bwMode="auto">
        <a:xfrm>
          <a:off x="12808322" y="603885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0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1243851</xdr:colOff>
      <xdr:row>142</xdr:row>
      <xdr:rowOff>190500</xdr:rowOff>
    </xdr:from>
    <xdr:ext cx="104775" cy="157443"/>
    <xdr:sp macro="" textlink="">
      <xdr:nvSpPr>
        <xdr:cNvPr id="5013" name="Text Box 3268"/>
        <xdr:cNvSpPr txBox="1">
          <a:spLocks noChangeArrowheads="1"/>
        </xdr:cNvSpPr>
      </xdr:nvSpPr>
      <xdr:spPr bwMode="auto">
        <a:xfrm>
          <a:off x="13021233" y="60500559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1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2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3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4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8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59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0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1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2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3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4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5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6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142</xdr:row>
      <xdr:rowOff>358588</xdr:rowOff>
    </xdr:from>
    <xdr:ext cx="104775" cy="157443"/>
    <xdr:sp macro="" textlink="">
      <xdr:nvSpPr>
        <xdr:cNvPr id="5067" name="Text Box 3268"/>
        <xdr:cNvSpPr txBox="1">
          <a:spLocks noChangeArrowheads="1"/>
        </xdr:cNvSpPr>
      </xdr:nvSpPr>
      <xdr:spPr bwMode="auto">
        <a:xfrm>
          <a:off x="13010028" y="60668647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6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6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7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8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09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0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1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2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3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4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5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6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7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8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19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0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1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2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3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4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5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26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6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6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6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6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7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8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29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0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1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2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3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4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5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6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7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8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39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09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0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1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2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3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4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5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6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7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139</xdr:row>
      <xdr:rowOff>358588</xdr:rowOff>
    </xdr:from>
    <xdr:ext cx="104775" cy="157443"/>
    <xdr:sp macro="" textlink="">
      <xdr:nvSpPr>
        <xdr:cNvPr id="5418" name="Text Box 3268"/>
        <xdr:cNvSpPr txBox="1">
          <a:spLocks noChangeArrowheads="1"/>
        </xdr:cNvSpPr>
      </xdr:nvSpPr>
      <xdr:spPr bwMode="auto">
        <a:xfrm>
          <a:off x="13010028" y="6286500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1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2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3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4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5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6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7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8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49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8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09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0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1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2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3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4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5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6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8</xdr:col>
      <xdr:colOff>1232646</xdr:colOff>
      <xdr:row>138</xdr:row>
      <xdr:rowOff>358588</xdr:rowOff>
    </xdr:from>
    <xdr:ext cx="104775" cy="157443"/>
    <xdr:sp macro="" textlink="">
      <xdr:nvSpPr>
        <xdr:cNvPr id="5517" name="Text Box 3268"/>
        <xdr:cNvSpPr txBox="1">
          <a:spLocks noChangeArrowheads="1"/>
        </xdr:cNvSpPr>
      </xdr:nvSpPr>
      <xdr:spPr bwMode="auto">
        <a:xfrm>
          <a:off x="13010028" y="62427970"/>
          <a:ext cx="104775" cy="1574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B1:AD468"/>
  <sheetViews>
    <sheetView topLeftCell="C153" zoomScale="90" zoomScaleNormal="90" workbookViewId="0">
      <selection activeCell="D35" sqref="D35"/>
    </sheetView>
  </sheetViews>
  <sheetFormatPr defaultRowHeight="12.75" x14ac:dyDescent="0.2"/>
  <cols>
    <col min="1" max="1" width="2.5703125" style="1" customWidth="1"/>
    <col min="2" max="2" width="12.7109375" style="1" customWidth="1"/>
    <col min="3" max="3" width="14.5703125" style="1" customWidth="1"/>
    <col min="4" max="4" width="69.28515625" style="1" customWidth="1"/>
    <col min="5" max="5" width="19.7109375" style="1" customWidth="1"/>
    <col min="6" max="6" width="20.85546875" style="1" customWidth="1"/>
    <col min="7" max="7" width="21.28515625" style="1" customWidth="1"/>
    <col min="8" max="9" width="18.7109375" style="1" customWidth="1"/>
    <col min="10" max="10" width="21.5703125" style="186" customWidth="1"/>
    <col min="11" max="11" width="20.28515625" style="1" customWidth="1"/>
    <col min="12" max="12" width="16.42578125" style="1" customWidth="1"/>
    <col min="13" max="13" width="17.140625" style="1" customWidth="1"/>
    <col min="14" max="14" width="13.7109375" style="1" customWidth="1"/>
    <col min="15" max="15" width="15.5703125" style="1" customWidth="1"/>
    <col min="16" max="16" width="17.28515625" style="1" customWidth="1"/>
    <col min="17" max="17" width="16.42578125" style="1" customWidth="1"/>
    <col min="18" max="30" width="16.140625" style="1" customWidth="1"/>
    <col min="31" max="33" width="11.7109375" style="1" customWidth="1"/>
    <col min="34" max="16384" width="9.140625" style="1"/>
  </cols>
  <sheetData>
    <row r="1" spans="3:10" ht="23.25" customHeight="1" thickBot="1" x14ac:dyDescent="0.25">
      <c r="C1" s="21"/>
      <c r="D1" s="21"/>
    </row>
    <row r="2" spans="3:10" ht="51.75" customHeight="1" thickBot="1" x14ac:dyDescent="0.25">
      <c r="C2" s="32"/>
      <c r="D2" s="22"/>
      <c r="E2" s="37" t="s">
        <v>0</v>
      </c>
      <c r="F2" s="23" t="s">
        <v>26</v>
      </c>
      <c r="G2" s="23" t="s">
        <v>27</v>
      </c>
      <c r="H2" s="23" t="s">
        <v>669</v>
      </c>
      <c r="I2" s="23" t="s">
        <v>670</v>
      </c>
      <c r="J2" s="601" t="s">
        <v>70</v>
      </c>
    </row>
    <row r="3" spans="3:10" ht="46.5" customHeight="1" thickBot="1" x14ac:dyDescent="0.25">
      <c r="C3" s="105" t="s">
        <v>1</v>
      </c>
      <c r="D3" s="104" t="s">
        <v>2</v>
      </c>
      <c r="E3" s="24" t="s">
        <v>3</v>
      </c>
      <c r="F3" s="174" t="s">
        <v>666</v>
      </c>
      <c r="G3" s="175" t="s">
        <v>667</v>
      </c>
      <c r="H3" s="175" t="s">
        <v>671</v>
      </c>
      <c r="I3" s="175" t="s">
        <v>668</v>
      </c>
      <c r="J3" s="602"/>
    </row>
    <row r="4" spans="3:10" ht="33" customHeight="1" thickBot="1" x14ac:dyDescent="0.25">
      <c r="C4" s="238">
        <v>10</v>
      </c>
      <c r="D4" s="243" t="s">
        <v>4</v>
      </c>
      <c r="E4" s="257">
        <f>E5+E6+E7+E13+E16+E19+E20</f>
        <v>8111320000</v>
      </c>
      <c r="F4" s="176">
        <f t="shared" ref="F4:I4" si="0">F5+F6+F7+F13+F16+F19+F20</f>
        <v>1248500000</v>
      </c>
      <c r="G4" s="176">
        <f t="shared" si="0"/>
        <v>415150000</v>
      </c>
      <c r="H4" s="176">
        <f t="shared" si="0"/>
        <v>17900000</v>
      </c>
      <c r="I4" s="258">
        <f t="shared" si="0"/>
        <v>55000000</v>
      </c>
      <c r="J4" s="251">
        <f>SUM(E4:I4)</f>
        <v>9847870000</v>
      </c>
    </row>
    <row r="5" spans="3:10" ht="29.25" customHeight="1" x14ac:dyDescent="0.2">
      <c r="C5" s="239" t="s">
        <v>202</v>
      </c>
      <c r="D5" s="244" t="s">
        <v>5</v>
      </c>
      <c r="E5" s="259">
        <v>58100000</v>
      </c>
      <c r="F5" s="177">
        <v>37500000</v>
      </c>
      <c r="G5" s="177">
        <v>23200000</v>
      </c>
      <c r="H5" s="177"/>
      <c r="I5" s="260"/>
      <c r="J5" s="252">
        <f>SUM(E5:I5)</f>
        <v>118800000</v>
      </c>
    </row>
    <row r="6" spans="3:10" ht="27.75" customHeight="1" x14ac:dyDescent="0.2">
      <c r="C6" s="240" t="s">
        <v>214</v>
      </c>
      <c r="D6" s="245" t="s">
        <v>121</v>
      </c>
      <c r="E6" s="261">
        <v>113600000</v>
      </c>
      <c r="F6" s="179"/>
      <c r="G6" s="179"/>
      <c r="H6" s="179"/>
      <c r="I6" s="262"/>
      <c r="J6" s="253">
        <f>SUM(E6:I6)</f>
        <v>113600000</v>
      </c>
    </row>
    <row r="7" spans="3:10" ht="33" customHeight="1" x14ac:dyDescent="0.2">
      <c r="C7" s="241" t="s">
        <v>215</v>
      </c>
      <c r="D7" s="246" t="s">
        <v>6</v>
      </c>
      <c r="E7" s="263">
        <f>SUM(E8:E12)</f>
        <v>6783000000</v>
      </c>
      <c r="F7" s="180">
        <f t="shared" ref="F7:I7" si="1">SUM(F8:F12)</f>
        <v>1134900000</v>
      </c>
      <c r="G7" s="180">
        <f t="shared" si="1"/>
        <v>349400000</v>
      </c>
      <c r="H7" s="180">
        <f t="shared" si="1"/>
        <v>17900000</v>
      </c>
      <c r="I7" s="264">
        <f t="shared" si="1"/>
        <v>55000000</v>
      </c>
      <c r="J7" s="254">
        <f>SUM(E7:I7)</f>
        <v>8340200000</v>
      </c>
    </row>
    <row r="8" spans="3:10" ht="33" customHeight="1" x14ac:dyDescent="0.2">
      <c r="C8" s="240" t="s">
        <v>216</v>
      </c>
      <c r="D8" s="247" t="s">
        <v>109</v>
      </c>
      <c r="E8" s="261">
        <v>6753600000</v>
      </c>
      <c r="F8" s="178">
        <v>356200000</v>
      </c>
      <c r="G8" s="178">
        <v>53200000</v>
      </c>
      <c r="H8" s="181"/>
      <c r="I8" s="221"/>
      <c r="J8" s="255">
        <f>SUM(E8:I8)</f>
        <v>7163000000</v>
      </c>
    </row>
    <row r="9" spans="3:10" ht="33" customHeight="1" x14ac:dyDescent="0.2">
      <c r="C9" s="240" t="s">
        <v>217</v>
      </c>
      <c r="D9" s="247" t="s">
        <v>110</v>
      </c>
      <c r="E9" s="261">
        <v>29400000</v>
      </c>
      <c r="F9" s="181"/>
      <c r="G9" s="181"/>
      <c r="H9" s="181"/>
      <c r="I9" s="221"/>
      <c r="J9" s="255">
        <f t="shared" ref="J9:J12" si="2">SUM(E9:I9)</f>
        <v>29400000</v>
      </c>
    </row>
    <row r="10" spans="3:10" ht="36.75" customHeight="1" x14ac:dyDescent="0.2">
      <c r="C10" s="240" t="s">
        <v>218</v>
      </c>
      <c r="D10" s="248" t="s">
        <v>196</v>
      </c>
      <c r="E10" s="265"/>
      <c r="F10" s="178">
        <v>778700000</v>
      </c>
      <c r="G10" s="178">
        <v>296200000</v>
      </c>
      <c r="H10" s="181"/>
      <c r="I10" s="221"/>
      <c r="J10" s="255">
        <f t="shared" si="2"/>
        <v>1074900000</v>
      </c>
    </row>
    <row r="11" spans="3:10" ht="39.75" customHeight="1" x14ac:dyDescent="0.2">
      <c r="C11" s="240" t="s">
        <v>219</v>
      </c>
      <c r="D11" s="248" t="s">
        <v>197</v>
      </c>
      <c r="E11" s="265"/>
      <c r="F11" s="181"/>
      <c r="G11" s="181"/>
      <c r="H11" s="181"/>
      <c r="I11" s="266">
        <v>55000000</v>
      </c>
      <c r="J11" s="255">
        <f t="shared" si="2"/>
        <v>55000000</v>
      </c>
    </row>
    <row r="12" spans="3:10" ht="39.75" customHeight="1" x14ac:dyDescent="0.2">
      <c r="C12" s="240" t="s">
        <v>220</v>
      </c>
      <c r="D12" s="248" t="s">
        <v>198</v>
      </c>
      <c r="E12" s="265"/>
      <c r="F12" s="181"/>
      <c r="G12" s="181"/>
      <c r="H12" s="181">
        <v>17900000</v>
      </c>
      <c r="I12" s="221"/>
      <c r="J12" s="255">
        <f t="shared" si="2"/>
        <v>17900000</v>
      </c>
    </row>
    <row r="13" spans="3:10" ht="36" customHeight="1" x14ac:dyDescent="0.2">
      <c r="C13" s="241" t="s">
        <v>221</v>
      </c>
      <c r="D13" s="246" t="s">
        <v>199</v>
      </c>
      <c r="E13" s="267">
        <f>SUM(E14:E15)</f>
        <v>106700000</v>
      </c>
      <c r="F13" s="182">
        <f t="shared" ref="F13:I13" si="3">SUM(F14:F15)</f>
        <v>71400000</v>
      </c>
      <c r="G13" s="182">
        <f t="shared" si="3"/>
        <v>42550000</v>
      </c>
      <c r="H13" s="182">
        <f>SUM(H14:H15)</f>
        <v>0</v>
      </c>
      <c r="I13" s="268">
        <f t="shared" si="3"/>
        <v>0</v>
      </c>
      <c r="J13" s="254">
        <f t="shared" ref="J13:J18" si="4">SUM(E13:I13)</f>
        <v>220650000</v>
      </c>
    </row>
    <row r="14" spans="3:10" ht="36" customHeight="1" x14ac:dyDescent="0.2">
      <c r="C14" s="240" t="s">
        <v>222</v>
      </c>
      <c r="D14" s="248" t="s">
        <v>200</v>
      </c>
      <c r="E14" s="261">
        <v>79300000</v>
      </c>
      <c r="F14" s="178">
        <v>71400000</v>
      </c>
      <c r="G14" s="178">
        <v>42550000</v>
      </c>
      <c r="H14" s="178"/>
      <c r="I14" s="266"/>
      <c r="J14" s="253">
        <f t="shared" si="4"/>
        <v>193250000</v>
      </c>
    </row>
    <row r="15" spans="3:10" ht="36" customHeight="1" x14ac:dyDescent="0.2">
      <c r="C15" s="240" t="s">
        <v>223</v>
      </c>
      <c r="D15" s="248" t="s">
        <v>201</v>
      </c>
      <c r="E15" s="261">
        <v>27400000</v>
      </c>
      <c r="F15" s="178"/>
      <c r="G15" s="178"/>
      <c r="H15" s="178"/>
      <c r="I15" s="266"/>
      <c r="J15" s="253">
        <f t="shared" si="4"/>
        <v>27400000</v>
      </c>
    </row>
    <row r="16" spans="3:10" ht="31.5" customHeight="1" x14ac:dyDescent="0.2">
      <c r="C16" s="241" t="s">
        <v>224</v>
      </c>
      <c r="D16" s="246" t="s">
        <v>71</v>
      </c>
      <c r="E16" s="263">
        <f>SUM(E17:E18)</f>
        <v>14120000</v>
      </c>
      <c r="F16" s="180">
        <f>SUM(F17:F18)</f>
        <v>4700000</v>
      </c>
      <c r="G16" s="180">
        <f t="shared" ref="G16:I16" si="5">SUM(G17:G18)</f>
        <v>0</v>
      </c>
      <c r="H16" s="180">
        <f t="shared" si="5"/>
        <v>0</v>
      </c>
      <c r="I16" s="264">
        <f t="shared" si="5"/>
        <v>0</v>
      </c>
      <c r="J16" s="254">
        <f t="shared" si="4"/>
        <v>18820000</v>
      </c>
    </row>
    <row r="17" spans="3:10" ht="39.75" customHeight="1" x14ac:dyDescent="0.2">
      <c r="C17" s="240" t="s">
        <v>225</v>
      </c>
      <c r="D17" s="248" t="s">
        <v>111</v>
      </c>
      <c r="E17" s="269">
        <v>5300000</v>
      </c>
      <c r="F17" s="183">
        <v>0</v>
      </c>
      <c r="G17" s="183"/>
      <c r="H17" s="183"/>
      <c r="I17" s="270"/>
      <c r="J17" s="253">
        <f t="shared" si="4"/>
        <v>5300000</v>
      </c>
    </row>
    <row r="18" spans="3:10" ht="44.25" customHeight="1" x14ac:dyDescent="0.2">
      <c r="C18" s="240" t="s">
        <v>226</v>
      </c>
      <c r="D18" s="248" t="s">
        <v>112</v>
      </c>
      <c r="E18" s="269">
        <v>8820000</v>
      </c>
      <c r="F18" s="183">
        <v>4700000</v>
      </c>
      <c r="G18" s="183"/>
      <c r="H18" s="183"/>
      <c r="I18" s="270"/>
      <c r="J18" s="253">
        <f t="shared" si="4"/>
        <v>13520000</v>
      </c>
    </row>
    <row r="19" spans="3:10" ht="30.75" customHeight="1" x14ac:dyDescent="0.2">
      <c r="C19" s="241" t="s">
        <v>227</v>
      </c>
      <c r="D19" s="245" t="s">
        <v>7</v>
      </c>
      <c r="E19" s="269">
        <v>33100000</v>
      </c>
      <c r="F19" s="622"/>
      <c r="G19" s="623"/>
      <c r="H19" s="623"/>
      <c r="I19" s="624"/>
      <c r="J19" s="255">
        <f>E19</f>
        <v>33100000</v>
      </c>
    </row>
    <row r="20" spans="3:10" ht="33" customHeight="1" x14ac:dyDescent="0.2">
      <c r="C20" s="241" t="s">
        <v>228</v>
      </c>
      <c r="D20" s="246" t="s">
        <v>122</v>
      </c>
      <c r="E20" s="263">
        <f>SUM(E21:E22)</f>
        <v>1002700000</v>
      </c>
      <c r="F20" s="180">
        <f t="shared" ref="F20:I20" si="6">SUM(F21:F22)</f>
        <v>0</v>
      </c>
      <c r="G20" s="180">
        <f t="shared" si="6"/>
        <v>0</v>
      </c>
      <c r="H20" s="180">
        <f t="shared" si="6"/>
        <v>0</v>
      </c>
      <c r="I20" s="264">
        <f t="shared" si="6"/>
        <v>0</v>
      </c>
      <c r="J20" s="254">
        <f>SUM(E20:I20)</f>
        <v>1002700000</v>
      </c>
    </row>
    <row r="21" spans="3:10" ht="39" customHeight="1" x14ac:dyDescent="0.2">
      <c r="C21" s="240" t="s">
        <v>229</v>
      </c>
      <c r="D21" s="249" t="s">
        <v>123</v>
      </c>
      <c r="E21" s="271">
        <v>180000000</v>
      </c>
      <c r="F21" s="184"/>
      <c r="G21" s="184"/>
      <c r="H21" s="184"/>
      <c r="I21" s="272"/>
      <c r="J21" s="253">
        <f>SUM(E21:I21)</f>
        <v>180000000</v>
      </c>
    </row>
    <row r="22" spans="3:10" ht="35.25" customHeight="1" thickBot="1" x14ac:dyDescent="0.25">
      <c r="C22" s="242" t="s">
        <v>230</v>
      </c>
      <c r="D22" s="250" t="s">
        <v>91</v>
      </c>
      <c r="E22" s="273">
        <v>822700000</v>
      </c>
      <c r="F22" s="185"/>
      <c r="G22" s="185"/>
      <c r="H22" s="185"/>
      <c r="I22" s="274"/>
      <c r="J22" s="256">
        <f>SUM(E22:I22)</f>
        <v>822700000</v>
      </c>
    </row>
    <row r="23" spans="3:10" ht="37.5" customHeight="1" thickBot="1" x14ac:dyDescent="0.25"/>
    <row r="24" spans="3:10" ht="37.5" customHeight="1" thickBot="1" x14ac:dyDescent="0.25">
      <c r="C24" s="4">
        <v>20</v>
      </c>
      <c r="D24" s="402" t="s">
        <v>8</v>
      </c>
      <c r="E24" s="386">
        <f>E25+E34+E38+E62+E71+E74+E77+E96+E108+E113+E122</f>
        <v>26268794400</v>
      </c>
      <c r="F24" s="205">
        <f t="shared" ref="F24:I24" si="7">F25+F34+F38+F62+F71+F74+F77+F96+F108+F113+F122</f>
        <v>2073757000</v>
      </c>
      <c r="G24" s="205">
        <f t="shared" si="7"/>
        <v>1085630000</v>
      </c>
      <c r="H24" s="205">
        <f t="shared" si="7"/>
        <v>180000</v>
      </c>
      <c r="I24" s="205">
        <f t="shared" si="7"/>
        <v>8985000</v>
      </c>
      <c r="J24" s="276">
        <f>SUM(E24:I24)</f>
        <v>29437346400</v>
      </c>
    </row>
    <row r="25" spans="3:10" ht="31.5" customHeight="1" x14ac:dyDescent="0.2">
      <c r="C25" s="5" t="s">
        <v>203</v>
      </c>
      <c r="D25" s="246" t="s">
        <v>9</v>
      </c>
      <c r="E25" s="387">
        <f>E26+E30</f>
        <v>4786893400</v>
      </c>
      <c r="F25" s="234">
        <f t="shared" ref="F25:I25" si="8">F26+F30</f>
        <v>16143000</v>
      </c>
      <c r="G25" s="234">
        <f t="shared" si="8"/>
        <v>0</v>
      </c>
      <c r="H25" s="234">
        <f t="shared" si="8"/>
        <v>0</v>
      </c>
      <c r="I25" s="234">
        <f t="shared" si="8"/>
        <v>0</v>
      </c>
      <c r="J25" s="277">
        <f>SUM(E25:I25)</f>
        <v>4803036400</v>
      </c>
    </row>
    <row r="26" spans="3:10" ht="31.5" customHeight="1" x14ac:dyDescent="0.2">
      <c r="C26" s="10" t="s">
        <v>204</v>
      </c>
      <c r="D26" s="403" t="s">
        <v>28</v>
      </c>
      <c r="E26" s="216">
        <f>SUM(E27:E29)</f>
        <v>2932237000</v>
      </c>
      <c r="F26" s="206">
        <f t="shared" ref="F26:I26" si="9">SUM(F27:F29)</f>
        <v>4961000</v>
      </c>
      <c r="G26" s="206">
        <f t="shared" si="9"/>
        <v>0</v>
      </c>
      <c r="H26" s="206">
        <f t="shared" si="9"/>
        <v>0</v>
      </c>
      <c r="I26" s="206">
        <f t="shared" si="9"/>
        <v>0</v>
      </c>
      <c r="J26" s="277">
        <f>SUM(E26:I26)</f>
        <v>2937198000</v>
      </c>
    </row>
    <row r="27" spans="3:10" ht="31.5" customHeight="1" x14ac:dyDescent="0.2">
      <c r="C27" s="27" t="s">
        <v>205</v>
      </c>
      <c r="D27" s="404" t="s">
        <v>10</v>
      </c>
      <c r="E27" s="388">
        <v>876400000</v>
      </c>
      <c r="F27" s="207"/>
      <c r="G27" s="207"/>
      <c r="H27" s="207"/>
      <c r="I27" s="207"/>
      <c r="J27" s="187">
        <f>SUM(E27:I27)</f>
        <v>876400000</v>
      </c>
    </row>
    <row r="28" spans="3:10" ht="33" customHeight="1" x14ac:dyDescent="0.2">
      <c r="C28" s="27" t="s">
        <v>206</v>
      </c>
      <c r="D28" s="404" t="s">
        <v>68</v>
      </c>
      <c r="E28" s="388">
        <v>1337800000</v>
      </c>
      <c r="F28" s="208"/>
      <c r="G28" s="208"/>
      <c r="H28" s="208"/>
      <c r="I28" s="208"/>
      <c r="J28" s="187">
        <f t="shared" ref="J28:J29" si="10">SUM(E28:I28)</f>
        <v>1337800000</v>
      </c>
    </row>
    <row r="29" spans="3:10" ht="33" customHeight="1" x14ac:dyDescent="0.2">
      <c r="C29" s="27" t="s">
        <v>619</v>
      </c>
      <c r="D29" s="404" t="s">
        <v>624</v>
      </c>
      <c r="E29" s="388">
        <v>718037000</v>
      </c>
      <c r="F29" s="207">
        <v>4961000</v>
      </c>
      <c r="G29" s="208"/>
      <c r="H29" s="208"/>
      <c r="I29" s="208"/>
      <c r="J29" s="187">
        <f t="shared" si="10"/>
        <v>722998000</v>
      </c>
    </row>
    <row r="30" spans="3:10" ht="38.25" customHeight="1" x14ac:dyDescent="0.2">
      <c r="C30" s="10" t="s">
        <v>207</v>
      </c>
      <c r="D30" s="403" t="s">
        <v>189</v>
      </c>
      <c r="E30" s="389">
        <f>SUM(E31:E33)</f>
        <v>1854656400</v>
      </c>
      <c r="F30" s="209">
        <f t="shared" ref="F30:I30" si="11">SUM(F31:F33)</f>
        <v>11182000</v>
      </c>
      <c r="G30" s="209">
        <f t="shared" si="11"/>
        <v>0</v>
      </c>
      <c r="H30" s="209">
        <f t="shared" si="11"/>
        <v>0</v>
      </c>
      <c r="I30" s="209">
        <f t="shared" si="11"/>
        <v>0</v>
      </c>
      <c r="J30" s="277">
        <f>SUM(E30:I30)</f>
        <v>1865838400</v>
      </c>
    </row>
    <row r="31" spans="3:10" ht="38.25" customHeight="1" x14ac:dyDescent="0.2">
      <c r="C31" s="11" t="s">
        <v>208</v>
      </c>
      <c r="D31" s="404" t="s">
        <v>10</v>
      </c>
      <c r="E31" s="388">
        <v>315670000</v>
      </c>
      <c r="F31" s="207"/>
      <c r="G31" s="207"/>
      <c r="H31" s="207"/>
      <c r="I31" s="207"/>
      <c r="J31" s="187">
        <f>SUM(E31:I31)</f>
        <v>315670000</v>
      </c>
    </row>
    <row r="32" spans="3:10" ht="38.25" customHeight="1" x14ac:dyDescent="0.2">
      <c r="C32" s="11" t="s">
        <v>209</v>
      </c>
      <c r="D32" s="404" t="s">
        <v>68</v>
      </c>
      <c r="E32" s="388">
        <v>957255400</v>
      </c>
      <c r="F32" s="207"/>
      <c r="G32" s="207"/>
      <c r="H32" s="207"/>
      <c r="I32" s="207"/>
      <c r="J32" s="187">
        <f t="shared" ref="J32:J33" si="12">SUM(E32:I32)</f>
        <v>957255400</v>
      </c>
    </row>
    <row r="33" spans="3:11" ht="33.75" customHeight="1" x14ac:dyDescent="0.2">
      <c r="C33" s="11" t="s">
        <v>620</v>
      </c>
      <c r="D33" s="404" t="s">
        <v>624</v>
      </c>
      <c r="E33" s="388">
        <v>581731000</v>
      </c>
      <c r="F33" s="207">
        <v>11182000</v>
      </c>
      <c r="G33" s="208"/>
      <c r="H33" s="210"/>
      <c r="I33" s="210"/>
      <c r="J33" s="187">
        <f t="shared" si="12"/>
        <v>592913000</v>
      </c>
    </row>
    <row r="34" spans="3:11" ht="38.25" customHeight="1" x14ac:dyDescent="0.2">
      <c r="C34" s="13" t="s">
        <v>231</v>
      </c>
      <c r="D34" s="405" t="s">
        <v>11</v>
      </c>
      <c r="E34" s="390">
        <f>SUM(E35:E37)</f>
        <v>1646042000</v>
      </c>
      <c r="F34" s="235">
        <f t="shared" ref="F34:I34" si="13">SUM(F35:F37)</f>
        <v>0</v>
      </c>
      <c r="G34" s="235">
        <f t="shared" si="13"/>
        <v>0</v>
      </c>
      <c r="H34" s="235">
        <f t="shared" si="13"/>
        <v>0</v>
      </c>
      <c r="I34" s="235">
        <f t="shared" si="13"/>
        <v>0</v>
      </c>
      <c r="J34" s="278">
        <f>SUM(E34:I34)</f>
        <v>1646042000</v>
      </c>
    </row>
    <row r="35" spans="3:11" ht="35.25" customHeight="1" x14ac:dyDescent="0.2">
      <c r="C35" s="27" t="s">
        <v>232</v>
      </c>
      <c r="D35" s="406" t="s">
        <v>10</v>
      </c>
      <c r="E35" s="388">
        <v>437900000</v>
      </c>
      <c r="F35" s="211"/>
      <c r="G35" s="211"/>
      <c r="H35" s="211"/>
      <c r="I35" s="211"/>
      <c r="J35" s="187">
        <f>SUM(E35:I35)</f>
        <v>437900000</v>
      </c>
    </row>
    <row r="36" spans="3:11" ht="35.25" customHeight="1" x14ac:dyDescent="0.2">
      <c r="C36" s="27" t="s">
        <v>233</v>
      </c>
      <c r="D36" s="406" t="s">
        <v>68</v>
      </c>
      <c r="E36" s="388">
        <v>1089800000</v>
      </c>
      <c r="F36" s="211"/>
      <c r="G36" s="211"/>
      <c r="H36" s="211"/>
      <c r="I36" s="211"/>
      <c r="J36" s="187">
        <f t="shared" ref="J36:J37" si="14">SUM(E36:I36)</f>
        <v>1089800000</v>
      </c>
    </row>
    <row r="37" spans="3:11" ht="35.25" customHeight="1" x14ac:dyDescent="0.2">
      <c r="C37" s="27" t="s">
        <v>621</v>
      </c>
      <c r="D37" s="406" t="s">
        <v>624</v>
      </c>
      <c r="E37" s="388">
        <v>118342000</v>
      </c>
      <c r="F37" s="212"/>
      <c r="G37" s="212"/>
      <c r="H37" s="212"/>
      <c r="I37" s="212"/>
      <c r="J37" s="187">
        <f t="shared" si="14"/>
        <v>118342000</v>
      </c>
    </row>
    <row r="38" spans="3:11" ht="33" customHeight="1" x14ac:dyDescent="0.2">
      <c r="C38" s="13" t="s">
        <v>234</v>
      </c>
      <c r="D38" s="407" t="s">
        <v>115</v>
      </c>
      <c r="E38" s="390">
        <f>E39+E40+E44+E49+E53+E57+E61</f>
        <v>5282629000</v>
      </c>
      <c r="F38" s="390">
        <f t="shared" ref="F38:I38" si="15">F39+F40+F44+F49+F53+F57+F61</f>
        <v>324034000</v>
      </c>
      <c r="G38" s="390">
        <f t="shared" si="15"/>
        <v>146300000</v>
      </c>
      <c r="H38" s="390">
        <f t="shared" si="15"/>
        <v>0</v>
      </c>
      <c r="I38" s="390">
        <f t="shared" si="15"/>
        <v>0</v>
      </c>
      <c r="J38" s="278">
        <f>SUM(E38:I38)</f>
        <v>5752963000</v>
      </c>
      <c r="K38" s="190"/>
    </row>
    <row r="39" spans="3:11" ht="33" customHeight="1" x14ac:dyDescent="0.2">
      <c r="C39" s="6" t="s">
        <v>235</v>
      </c>
      <c r="D39" s="408" t="s">
        <v>92</v>
      </c>
      <c r="E39" s="391">
        <v>176430000</v>
      </c>
      <c r="F39" s="213"/>
      <c r="G39" s="213"/>
      <c r="H39" s="213"/>
      <c r="I39" s="213"/>
      <c r="J39" s="187">
        <f>SUM(E39:I39)</f>
        <v>176430000</v>
      </c>
    </row>
    <row r="40" spans="3:11" ht="36" customHeight="1" x14ac:dyDescent="0.2">
      <c r="C40" s="7" t="s">
        <v>236</v>
      </c>
      <c r="D40" s="409" t="s">
        <v>14</v>
      </c>
      <c r="E40" s="389">
        <f>SUM(E41:E43)</f>
        <v>2194793000</v>
      </c>
      <c r="F40" s="209">
        <f t="shared" ref="F40:I40" si="16">SUM(F41:F43)</f>
        <v>98634000</v>
      </c>
      <c r="G40" s="209">
        <f t="shared" si="16"/>
        <v>0</v>
      </c>
      <c r="H40" s="209">
        <f t="shared" si="16"/>
        <v>0</v>
      </c>
      <c r="I40" s="209">
        <f t="shared" si="16"/>
        <v>0</v>
      </c>
      <c r="J40" s="277">
        <f>SUM(E40:I40)</f>
        <v>2293427000</v>
      </c>
    </row>
    <row r="41" spans="3:11" ht="30.75" customHeight="1" x14ac:dyDescent="0.2">
      <c r="C41" s="6" t="s">
        <v>237</v>
      </c>
      <c r="D41" s="404" t="s">
        <v>30</v>
      </c>
      <c r="E41" s="388">
        <v>6150000</v>
      </c>
      <c r="F41" s="207">
        <v>0</v>
      </c>
      <c r="G41" s="214"/>
      <c r="H41" s="214"/>
      <c r="I41" s="214"/>
      <c r="J41" s="187">
        <f t="shared" ref="J41:J48" si="17">SUM(E41:I41)</f>
        <v>6150000</v>
      </c>
    </row>
    <row r="42" spans="3:11" ht="30.75" customHeight="1" x14ac:dyDescent="0.2">
      <c r="C42" s="27" t="s">
        <v>238</v>
      </c>
      <c r="D42" s="410" t="s">
        <v>623</v>
      </c>
      <c r="E42" s="388">
        <v>1613800000</v>
      </c>
      <c r="F42" s="207">
        <v>0</v>
      </c>
      <c r="G42" s="214"/>
      <c r="H42" s="214"/>
      <c r="I42" s="214"/>
      <c r="J42" s="187">
        <f t="shared" si="17"/>
        <v>1613800000</v>
      </c>
    </row>
    <row r="43" spans="3:11" ht="30.75" customHeight="1" x14ac:dyDescent="0.2">
      <c r="C43" s="27" t="s">
        <v>628</v>
      </c>
      <c r="D43" s="410" t="s">
        <v>624</v>
      </c>
      <c r="E43" s="388">
        <v>574843000</v>
      </c>
      <c r="F43" s="207">
        <v>98634000</v>
      </c>
      <c r="G43" s="214"/>
      <c r="H43" s="214"/>
      <c r="I43" s="214"/>
      <c r="J43" s="187">
        <f t="shared" si="17"/>
        <v>673477000</v>
      </c>
    </row>
    <row r="44" spans="3:11" ht="29.25" customHeight="1" x14ac:dyDescent="0.2">
      <c r="C44" s="26" t="s">
        <v>239</v>
      </c>
      <c r="D44" s="411" t="s">
        <v>16</v>
      </c>
      <c r="E44" s="389">
        <f>SUM(E45:E48)</f>
        <v>2561076000</v>
      </c>
      <c r="F44" s="209">
        <f t="shared" ref="F44:I44" si="18">SUM(F45:F48)</f>
        <v>120000000</v>
      </c>
      <c r="G44" s="209">
        <f t="shared" si="18"/>
        <v>95000000</v>
      </c>
      <c r="H44" s="209">
        <f t="shared" si="18"/>
        <v>0</v>
      </c>
      <c r="I44" s="209">
        <f t="shared" si="18"/>
        <v>0</v>
      </c>
      <c r="J44" s="277">
        <f>SUM(E44:I44)</f>
        <v>2776076000</v>
      </c>
    </row>
    <row r="45" spans="3:11" ht="29.25" customHeight="1" x14ac:dyDescent="0.2">
      <c r="C45" s="27" t="s">
        <v>240</v>
      </c>
      <c r="D45" s="410" t="s">
        <v>30</v>
      </c>
      <c r="E45" s="388">
        <v>12500000</v>
      </c>
      <c r="F45" s="207">
        <v>0</v>
      </c>
      <c r="G45" s="214"/>
      <c r="H45" s="214"/>
      <c r="I45" s="214"/>
      <c r="J45" s="187">
        <f t="shared" si="17"/>
        <v>12500000</v>
      </c>
    </row>
    <row r="46" spans="3:11" ht="32.25" customHeight="1" x14ac:dyDescent="0.2">
      <c r="C46" s="27" t="s">
        <v>241</v>
      </c>
      <c r="D46" s="410" t="s">
        <v>623</v>
      </c>
      <c r="E46" s="388">
        <v>2113800000</v>
      </c>
      <c r="F46" s="207">
        <v>0</v>
      </c>
      <c r="G46" s="214"/>
      <c r="H46" s="214"/>
      <c r="I46" s="214"/>
      <c r="J46" s="187">
        <f t="shared" si="17"/>
        <v>2113800000</v>
      </c>
    </row>
    <row r="47" spans="3:11" ht="30.75" customHeight="1" x14ac:dyDescent="0.2">
      <c r="C47" s="27" t="s">
        <v>242</v>
      </c>
      <c r="D47" s="410" t="s">
        <v>624</v>
      </c>
      <c r="E47" s="388">
        <v>284776000</v>
      </c>
      <c r="F47" s="207">
        <v>120000000</v>
      </c>
      <c r="G47" s="207">
        <v>95000000</v>
      </c>
      <c r="H47" s="214"/>
      <c r="I47" s="214"/>
      <c r="J47" s="187">
        <f t="shared" si="17"/>
        <v>499776000</v>
      </c>
    </row>
    <row r="48" spans="3:11" ht="29.25" customHeight="1" x14ac:dyDescent="0.2">
      <c r="C48" s="27" t="s">
        <v>627</v>
      </c>
      <c r="D48" s="410" t="s">
        <v>116</v>
      </c>
      <c r="E48" s="388">
        <v>150000000</v>
      </c>
      <c r="F48" s="214"/>
      <c r="G48" s="214"/>
      <c r="H48" s="214"/>
      <c r="I48" s="214"/>
      <c r="J48" s="187">
        <f t="shared" si="17"/>
        <v>150000000</v>
      </c>
    </row>
    <row r="49" spans="3:10" ht="30.75" customHeight="1" x14ac:dyDescent="0.2">
      <c r="C49" s="26" t="s">
        <v>243</v>
      </c>
      <c r="D49" s="411" t="s">
        <v>93</v>
      </c>
      <c r="E49" s="389">
        <f>SUM(E50:E52)</f>
        <v>16600000</v>
      </c>
      <c r="F49" s="209">
        <f t="shared" ref="F49:I49" si="19">SUM(F50:F52)</f>
        <v>5000000</v>
      </c>
      <c r="G49" s="209">
        <f t="shared" si="19"/>
        <v>0</v>
      </c>
      <c r="H49" s="209">
        <f t="shared" si="19"/>
        <v>0</v>
      </c>
      <c r="I49" s="209">
        <f t="shared" si="19"/>
        <v>0</v>
      </c>
      <c r="J49" s="277">
        <f>SUM(E49:I49)</f>
        <v>21600000</v>
      </c>
    </row>
    <row r="50" spans="3:10" ht="30.75" customHeight="1" x14ac:dyDescent="0.2">
      <c r="C50" s="27" t="s">
        <v>244</v>
      </c>
      <c r="D50" s="410" t="s">
        <v>30</v>
      </c>
      <c r="E50" s="388">
        <v>250000</v>
      </c>
      <c r="F50" s="207"/>
      <c r="G50" s="207"/>
      <c r="H50" s="207"/>
      <c r="I50" s="207"/>
      <c r="J50" s="187">
        <f>SUM(E50:I50)</f>
        <v>250000</v>
      </c>
    </row>
    <row r="51" spans="3:10" ht="30.75" customHeight="1" x14ac:dyDescent="0.2">
      <c r="C51" s="27" t="s">
        <v>245</v>
      </c>
      <c r="D51" s="410" t="s">
        <v>623</v>
      </c>
      <c r="E51" s="388">
        <v>9150000</v>
      </c>
      <c r="F51" s="207"/>
      <c r="G51" s="207"/>
      <c r="H51" s="207"/>
      <c r="I51" s="207"/>
      <c r="J51" s="187">
        <f t="shared" ref="J51:J52" si="20">SUM(E51:I51)</f>
        <v>9150000</v>
      </c>
    </row>
    <row r="52" spans="3:10" ht="30.75" customHeight="1" x14ac:dyDescent="0.2">
      <c r="C52" s="27" t="s">
        <v>622</v>
      </c>
      <c r="D52" s="410" t="s">
        <v>624</v>
      </c>
      <c r="E52" s="388">
        <v>7200000</v>
      </c>
      <c r="F52" s="207">
        <v>5000000</v>
      </c>
      <c r="G52" s="208"/>
      <c r="H52" s="210"/>
      <c r="I52" s="210"/>
      <c r="J52" s="187">
        <f t="shared" si="20"/>
        <v>12200000</v>
      </c>
    </row>
    <row r="53" spans="3:10" ht="30.75" customHeight="1" x14ac:dyDescent="0.2">
      <c r="C53" s="26" t="s">
        <v>246</v>
      </c>
      <c r="D53" s="411" t="s">
        <v>106</v>
      </c>
      <c r="E53" s="389">
        <f>SUM(E54:E56)</f>
        <v>140600000</v>
      </c>
      <c r="F53" s="209">
        <f t="shared" ref="F53:I53" si="21">SUM(F54:F56)</f>
        <v>35200000</v>
      </c>
      <c r="G53" s="209">
        <f t="shared" si="21"/>
        <v>0</v>
      </c>
      <c r="H53" s="209">
        <f t="shared" si="21"/>
        <v>0</v>
      </c>
      <c r="I53" s="209">
        <f t="shared" si="21"/>
        <v>0</v>
      </c>
      <c r="J53" s="277">
        <f>SUM(E53:I53)</f>
        <v>175800000</v>
      </c>
    </row>
    <row r="54" spans="3:10" ht="30.75" customHeight="1" x14ac:dyDescent="0.2">
      <c r="C54" s="27" t="s">
        <v>247</v>
      </c>
      <c r="D54" s="410" t="s">
        <v>30</v>
      </c>
      <c r="E54" s="388">
        <v>250000</v>
      </c>
      <c r="F54" s="207"/>
      <c r="G54" s="207"/>
      <c r="H54" s="207"/>
      <c r="I54" s="207"/>
      <c r="J54" s="187">
        <f>SUM(E54:I54)</f>
        <v>250000</v>
      </c>
    </row>
    <row r="55" spans="3:10" ht="30.75" customHeight="1" x14ac:dyDescent="0.2">
      <c r="C55" s="27" t="s">
        <v>248</v>
      </c>
      <c r="D55" s="410" t="s">
        <v>623</v>
      </c>
      <c r="E55" s="388">
        <v>78150000</v>
      </c>
      <c r="F55" s="207"/>
      <c r="G55" s="207"/>
      <c r="H55" s="207"/>
      <c r="I55" s="207"/>
      <c r="J55" s="187">
        <f t="shared" ref="J55:J56" si="22">SUM(E55:I55)</f>
        <v>78150000</v>
      </c>
    </row>
    <row r="56" spans="3:10" ht="30.75" customHeight="1" x14ac:dyDescent="0.2">
      <c r="C56" s="27" t="s">
        <v>626</v>
      </c>
      <c r="D56" s="410" t="s">
        <v>624</v>
      </c>
      <c r="E56" s="388">
        <v>62200000</v>
      </c>
      <c r="F56" s="207">
        <v>35200000</v>
      </c>
      <c r="G56" s="208"/>
      <c r="H56" s="210"/>
      <c r="I56" s="210"/>
      <c r="J56" s="187">
        <f t="shared" si="22"/>
        <v>97400000</v>
      </c>
    </row>
    <row r="57" spans="3:10" ht="30.75" customHeight="1" x14ac:dyDescent="0.2">
      <c r="C57" s="7" t="s">
        <v>249</v>
      </c>
      <c r="D57" s="409" t="s">
        <v>97</v>
      </c>
      <c r="E57" s="389">
        <f>SUM(E58:E60)</f>
        <v>128130000</v>
      </c>
      <c r="F57" s="209">
        <f t="shared" ref="F57:I57" si="23">SUM(F58:F60)</f>
        <v>65200000</v>
      </c>
      <c r="G57" s="209">
        <f t="shared" si="23"/>
        <v>51300000</v>
      </c>
      <c r="H57" s="209">
        <f t="shared" si="23"/>
        <v>0</v>
      </c>
      <c r="I57" s="209">
        <f t="shared" si="23"/>
        <v>0</v>
      </c>
      <c r="J57" s="277">
        <f>SUM(E57:I57)</f>
        <v>244630000</v>
      </c>
    </row>
    <row r="58" spans="3:10" ht="30.75" customHeight="1" x14ac:dyDescent="0.2">
      <c r="C58" s="27" t="s">
        <v>250</v>
      </c>
      <c r="D58" s="410" t="s">
        <v>30</v>
      </c>
      <c r="E58" s="388">
        <v>180000</v>
      </c>
      <c r="F58" s="207"/>
      <c r="G58" s="207"/>
      <c r="H58" s="207"/>
      <c r="I58" s="207"/>
      <c r="J58" s="187">
        <f>SUM(E58:I58)</f>
        <v>180000</v>
      </c>
    </row>
    <row r="59" spans="3:10" ht="30.75" customHeight="1" x14ac:dyDescent="0.2">
      <c r="C59" s="27" t="s">
        <v>251</v>
      </c>
      <c r="D59" s="410" t="s">
        <v>623</v>
      </c>
      <c r="E59" s="388">
        <v>85750000</v>
      </c>
      <c r="F59" s="207"/>
      <c r="G59" s="207"/>
      <c r="H59" s="207"/>
      <c r="I59" s="207"/>
      <c r="J59" s="187">
        <f t="shared" ref="J59:J60" si="24">SUM(E59:I59)</f>
        <v>85750000</v>
      </c>
    </row>
    <row r="60" spans="3:10" ht="30.75" customHeight="1" x14ac:dyDescent="0.2">
      <c r="C60" s="27" t="s">
        <v>625</v>
      </c>
      <c r="D60" s="410" t="s">
        <v>624</v>
      </c>
      <c r="E60" s="388">
        <v>42200000</v>
      </c>
      <c r="F60" s="207">
        <v>65200000</v>
      </c>
      <c r="G60" s="207">
        <v>51300000</v>
      </c>
      <c r="H60" s="210"/>
      <c r="I60" s="210"/>
      <c r="J60" s="187">
        <f t="shared" si="24"/>
        <v>158700000</v>
      </c>
    </row>
    <row r="61" spans="3:10" ht="27" customHeight="1" x14ac:dyDescent="0.2">
      <c r="C61" s="6" t="s">
        <v>252</v>
      </c>
      <c r="D61" s="406" t="s">
        <v>31</v>
      </c>
      <c r="E61" s="392">
        <v>65000000</v>
      </c>
      <c r="F61" s="625"/>
      <c r="G61" s="626"/>
      <c r="H61" s="626"/>
      <c r="I61" s="627"/>
      <c r="J61" s="187">
        <f>E61</f>
        <v>65000000</v>
      </c>
    </row>
    <row r="62" spans="3:10" ht="30" customHeight="1" x14ac:dyDescent="0.2">
      <c r="C62" s="13" t="s">
        <v>253</v>
      </c>
      <c r="D62" s="405" t="s">
        <v>32</v>
      </c>
      <c r="E62" s="280">
        <f>E63+E67</f>
        <v>275600000</v>
      </c>
      <c r="F62" s="275">
        <f t="shared" ref="F62:I62" si="25">F63+F67</f>
        <v>91200000</v>
      </c>
      <c r="G62" s="275">
        <f t="shared" si="25"/>
        <v>47300000</v>
      </c>
      <c r="H62" s="275">
        <f t="shared" si="25"/>
        <v>0</v>
      </c>
      <c r="I62" s="275">
        <f t="shared" si="25"/>
        <v>0</v>
      </c>
      <c r="J62" s="278">
        <f>SUM(E62:I62)</f>
        <v>414100000</v>
      </c>
    </row>
    <row r="63" spans="3:10" ht="30" customHeight="1" x14ac:dyDescent="0.2">
      <c r="C63" s="13" t="s">
        <v>254</v>
      </c>
      <c r="D63" s="409" t="s">
        <v>96</v>
      </c>
      <c r="E63" s="216">
        <f>SUM(E64:E66)</f>
        <v>140600000</v>
      </c>
      <c r="F63" s="216">
        <f t="shared" ref="F63:I63" si="26">SUM(F64:F66)</f>
        <v>30400000</v>
      </c>
      <c r="G63" s="216">
        <f t="shared" si="26"/>
        <v>19800000</v>
      </c>
      <c r="H63" s="216">
        <f t="shared" si="26"/>
        <v>0</v>
      </c>
      <c r="I63" s="216">
        <f t="shared" si="26"/>
        <v>0</v>
      </c>
      <c r="J63" s="277">
        <f>SUM(E63:I63)</f>
        <v>190800000</v>
      </c>
    </row>
    <row r="64" spans="3:10" ht="30" customHeight="1" x14ac:dyDescent="0.2">
      <c r="C64" s="12" t="s">
        <v>255</v>
      </c>
      <c r="D64" s="412" t="s">
        <v>103</v>
      </c>
      <c r="E64" s="392">
        <v>65700000</v>
      </c>
      <c r="F64" s="217"/>
      <c r="G64" s="217"/>
      <c r="H64" s="217"/>
      <c r="I64" s="217"/>
      <c r="J64" s="187">
        <f t="shared" ref="J64:J66" si="27">SUM(E64:I64)</f>
        <v>65700000</v>
      </c>
    </row>
    <row r="65" spans="3:10" ht="30" customHeight="1" x14ac:dyDescent="0.2">
      <c r="C65" s="12" t="s">
        <v>256</v>
      </c>
      <c r="D65" s="412" t="s">
        <v>104</v>
      </c>
      <c r="E65" s="392">
        <v>42300000</v>
      </c>
      <c r="F65" s="215"/>
      <c r="G65" s="215"/>
      <c r="H65" s="236"/>
      <c r="I65" s="218"/>
      <c r="J65" s="187">
        <f t="shared" si="27"/>
        <v>42300000</v>
      </c>
    </row>
    <row r="66" spans="3:10" ht="30" customHeight="1" x14ac:dyDescent="0.2">
      <c r="C66" s="12" t="s">
        <v>641</v>
      </c>
      <c r="D66" s="412" t="s">
        <v>105</v>
      </c>
      <c r="E66" s="392">
        <v>32600000</v>
      </c>
      <c r="F66" s="215">
        <v>30400000</v>
      </c>
      <c r="G66" s="215">
        <v>19800000</v>
      </c>
      <c r="H66" s="236"/>
      <c r="I66" s="219"/>
      <c r="J66" s="187">
        <f t="shared" si="27"/>
        <v>82800000</v>
      </c>
    </row>
    <row r="67" spans="3:10" ht="30" customHeight="1" x14ac:dyDescent="0.2">
      <c r="C67" s="13" t="s">
        <v>257</v>
      </c>
      <c r="D67" s="409" t="s">
        <v>98</v>
      </c>
      <c r="E67" s="216">
        <f>SUM(E68:E70)</f>
        <v>135000000</v>
      </c>
      <c r="F67" s="216">
        <f t="shared" ref="F67:I67" si="28">SUM(F68:F70)</f>
        <v>60800000</v>
      </c>
      <c r="G67" s="216">
        <f t="shared" si="28"/>
        <v>27500000</v>
      </c>
      <c r="H67" s="216">
        <f t="shared" si="28"/>
        <v>0</v>
      </c>
      <c r="I67" s="216">
        <f t="shared" si="28"/>
        <v>0</v>
      </c>
      <c r="J67" s="277">
        <f>SUM(E67:I67)</f>
        <v>223300000</v>
      </c>
    </row>
    <row r="68" spans="3:10" ht="30" customHeight="1" x14ac:dyDescent="0.2">
      <c r="C68" s="12" t="s">
        <v>258</v>
      </c>
      <c r="D68" s="412" t="s">
        <v>103</v>
      </c>
      <c r="E68" s="392">
        <v>67750000</v>
      </c>
      <c r="F68" s="217"/>
      <c r="G68" s="217"/>
      <c r="H68" s="236"/>
      <c r="I68" s="217"/>
      <c r="J68" s="187">
        <f t="shared" ref="J68:J70" si="29">SUM(E68:I68)</f>
        <v>67750000</v>
      </c>
    </row>
    <row r="69" spans="3:10" ht="30" customHeight="1" x14ac:dyDescent="0.2">
      <c r="C69" s="12" t="s">
        <v>259</v>
      </c>
      <c r="D69" s="412" t="s">
        <v>643</v>
      </c>
      <c r="E69" s="392">
        <v>40350000</v>
      </c>
      <c r="F69" s="215"/>
      <c r="G69" s="215"/>
      <c r="H69" s="236"/>
      <c r="I69" s="219"/>
      <c r="J69" s="187">
        <f t="shared" si="29"/>
        <v>40350000</v>
      </c>
    </row>
    <row r="70" spans="3:10" ht="30" customHeight="1" x14ac:dyDescent="0.2">
      <c r="C70" s="12" t="s">
        <v>642</v>
      </c>
      <c r="D70" s="412" t="s">
        <v>105</v>
      </c>
      <c r="E70" s="392">
        <v>26900000</v>
      </c>
      <c r="F70" s="215">
        <v>60800000</v>
      </c>
      <c r="G70" s="215">
        <v>27500000</v>
      </c>
      <c r="H70" s="237"/>
      <c r="I70" s="218"/>
      <c r="J70" s="187">
        <f t="shared" si="29"/>
        <v>115200000</v>
      </c>
    </row>
    <row r="71" spans="3:10" ht="56.25" customHeight="1" x14ac:dyDescent="0.2">
      <c r="C71" s="10" t="s">
        <v>260</v>
      </c>
      <c r="D71" s="413" t="s">
        <v>117</v>
      </c>
      <c r="E71" s="280">
        <f>SUM(E72:E73)</f>
        <v>4315000000</v>
      </c>
      <c r="F71" s="280">
        <f t="shared" ref="F71:I71" si="30">SUM(F72:F73)</f>
        <v>0</v>
      </c>
      <c r="G71" s="280">
        <f t="shared" si="30"/>
        <v>0</v>
      </c>
      <c r="H71" s="280">
        <f t="shared" si="30"/>
        <v>0</v>
      </c>
      <c r="I71" s="280">
        <f t="shared" si="30"/>
        <v>0</v>
      </c>
      <c r="J71" s="278">
        <f>SUM(E71:I71)</f>
        <v>4315000000</v>
      </c>
    </row>
    <row r="72" spans="3:10" ht="39" customHeight="1" x14ac:dyDescent="0.2">
      <c r="C72" s="12" t="s">
        <v>261</v>
      </c>
      <c r="D72" s="404" t="s">
        <v>73</v>
      </c>
      <c r="E72" s="393">
        <v>2862500000</v>
      </c>
      <c r="F72" s="220"/>
      <c r="G72" s="220"/>
      <c r="H72" s="220"/>
      <c r="I72" s="220"/>
      <c r="J72" s="187">
        <f t="shared" ref="J72:J73" si="31">SUM(E72:I72)</f>
        <v>2862500000</v>
      </c>
    </row>
    <row r="73" spans="3:10" ht="39" customHeight="1" x14ac:dyDescent="0.2">
      <c r="C73" s="12" t="s">
        <v>262</v>
      </c>
      <c r="D73" s="404" t="s">
        <v>17</v>
      </c>
      <c r="E73" s="393">
        <v>1452500000</v>
      </c>
      <c r="F73" s="181"/>
      <c r="G73" s="181"/>
      <c r="H73" s="203"/>
      <c r="I73" s="221"/>
      <c r="J73" s="187">
        <f t="shared" si="31"/>
        <v>1452500000</v>
      </c>
    </row>
    <row r="74" spans="3:10" ht="39" customHeight="1" x14ac:dyDescent="0.2">
      <c r="C74" s="34" t="s">
        <v>263</v>
      </c>
      <c r="D74" s="407" t="s">
        <v>33</v>
      </c>
      <c r="E74" s="280">
        <f>SUM(E75:E76)</f>
        <v>31125000</v>
      </c>
      <c r="F74" s="280">
        <f t="shared" ref="F74" si="32">SUM(F75:F76)</f>
        <v>0</v>
      </c>
      <c r="G74" s="280">
        <f t="shared" ref="G74" si="33">SUM(G75:G76)</f>
        <v>0</v>
      </c>
      <c r="H74" s="280">
        <f t="shared" ref="H74" si="34">SUM(H75:H76)</f>
        <v>0</v>
      </c>
      <c r="I74" s="280">
        <f t="shared" ref="I74" si="35">SUM(I75:I76)</f>
        <v>0</v>
      </c>
      <c r="J74" s="278">
        <f>SUM(E74:I74)</f>
        <v>31125000</v>
      </c>
    </row>
    <row r="75" spans="3:10" ht="39" customHeight="1" x14ac:dyDescent="0.2">
      <c r="C75" s="8" t="s">
        <v>264</v>
      </c>
      <c r="D75" s="408" t="s">
        <v>34</v>
      </c>
      <c r="E75" s="393">
        <v>18625000</v>
      </c>
      <c r="F75" s="222"/>
      <c r="G75" s="222"/>
      <c r="H75" s="222"/>
      <c r="I75" s="222"/>
      <c r="J75" s="187">
        <f t="shared" ref="J75:J76" si="36">SUM(E75:I75)</f>
        <v>18625000</v>
      </c>
    </row>
    <row r="76" spans="3:10" ht="39" customHeight="1" x14ac:dyDescent="0.2">
      <c r="C76" s="8" t="s">
        <v>265</v>
      </c>
      <c r="D76" s="408" t="s">
        <v>35</v>
      </c>
      <c r="E76" s="393">
        <v>12500000</v>
      </c>
      <c r="F76" s="223"/>
      <c r="G76" s="223"/>
      <c r="H76" s="223"/>
      <c r="I76" s="223"/>
      <c r="J76" s="187">
        <f t="shared" si="36"/>
        <v>12500000</v>
      </c>
    </row>
    <row r="77" spans="3:10" ht="39" customHeight="1" x14ac:dyDescent="0.2">
      <c r="C77" s="13" t="s">
        <v>266</v>
      </c>
      <c r="D77" s="407" t="s">
        <v>120</v>
      </c>
      <c r="E77" s="280">
        <f>E78+E88+SUM(E91:E95)</f>
        <v>2536755000</v>
      </c>
      <c r="F77" s="275">
        <f t="shared" ref="F77:I77" si="37">F78+F88+SUM(F91:F95)</f>
        <v>327750000</v>
      </c>
      <c r="G77" s="275">
        <f t="shared" si="37"/>
        <v>87750000</v>
      </c>
      <c r="H77" s="275">
        <f t="shared" si="37"/>
        <v>0</v>
      </c>
      <c r="I77" s="275">
        <f t="shared" si="37"/>
        <v>8235000</v>
      </c>
      <c r="J77" s="278">
        <f>SUM(E77:I77)</f>
        <v>2960490000</v>
      </c>
    </row>
    <row r="78" spans="3:10" ht="39" customHeight="1" x14ac:dyDescent="0.2">
      <c r="C78" s="13" t="s">
        <v>267</v>
      </c>
      <c r="D78" s="411" t="s">
        <v>18</v>
      </c>
      <c r="E78" s="216">
        <f>SUM(E79:E80)+E81+E85</f>
        <v>129655000</v>
      </c>
      <c r="F78" s="216">
        <f t="shared" ref="F78:I78" si="38">SUM(F79:F80)+F81+F85</f>
        <v>45350000</v>
      </c>
      <c r="G78" s="216">
        <f t="shared" si="38"/>
        <v>14300000</v>
      </c>
      <c r="H78" s="216">
        <f t="shared" si="38"/>
        <v>0</v>
      </c>
      <c r="I78" s="216">
        <f t="shared" si="38"/>
        <v>0</v>
      </c>
      <c r="J78" s="277">
        <f>SUM(E78:I78)</f>
        <v>189305000</v>
      </c>
    </row>
    <row r="79" spans="3:10" ht="39" customHeight="1" x14ac:dyDescent="0.2">
      <c r="C79" s="14" t="s">
        <v>268</v>
      </c>
      <c r="D79" s="414" t="s">
        <v>36</v>
      </c>
      <c r="E79" s="393">
        <v>15325000</v>
      </c>
      <c r="F79" s="222"/>
      <c r="G79" s="222"/>
      <c r="H79" s="222"/>
      <c r="I79" s="222"/>
      <c r="J79" s="187">
        <f t="shared" ref="J79:J124" si="39">SUM(E79:I79)</f>
        <v>15325000</v>
      </c>
    </row>
    <row r="80" spans="3:10" ht="39" customHeight="1" x14ac:dyDescent="0.2">
      <c r="C80" s="14" t="s">
        <v>269</v>
      </c>
      <c r="D80" s="414" t="s">
        <v>37</v>
      </c>
      <c r="E80" s="393">
        <v>60500000</v>
      </c>
      <c r="F80" s="223"/>
      <c r="G80" s="223"/>
      <c r="H80" s="223"/>
      <c r="I80" s="223"/>
      <c r="J80" s="187">
        <f t="shared" si="39"/>
        <v>60500000</v>
      </c>
    </row>
    <row r="81" spans="3:10" ht="39" customHeight="1" x14ac:dyDescent="0.2">
      <c r="C81" s="15" t="s">
        <v>270</v>
      </c>
      <c r="D81" s="415" t="s">
        <v>38</v>
      </c>
      <c r="E81" s="216">
        <f>SUM(E82:E84)</f>
        <v>21650000</v>
      </c>
      <c r="F81" s="216">
        <f t="shared" ref="F81:I81" si="40">SUM(F82:F84)</f>
        <v>25500000</v>
      </c>
      <c r="G81" s="216">
        <f t="shared" si="40"/>
        <v>14300000</v>
      </c>
      <c r="H81" s="216">
        <f t="shared" si="40"/>
        <v>0</v>
      </c>
      <c r="I81" s="216">
        <f t="shared" si="40"/>
        <v>0</v>
      </c>
      <c r="J81" s="277">
        <f>SUM(E81:I81)</f>
        <v>61450000</v>
      </c>
    </row>
    <row r="82" spans="3:10" ht="39" customHeight="1" x14ac:dyDescent="0.2">
      <c r="C82" s="14" t="s">
        <v>271</v>
      </c>
      <c r="D82" s="416" t="s">
        <v>19</v>
      </c>
      <c r="E82" s="394">
        <v>21650000</v>
      </c>
      <c r="F82" s="224"/>
      <c r="G82" s="224"/>
      <c r="H82" s="224"/>
      <c r="I82" s="224"/>
      <c r="J82" s="187">
        <f t="shared" si="39"/>
        <v>21650000</v>
      </c>
    </row>
    <row r="83" spans="3:10" ht="37.5" customHeight="1" x14ac:dyDescent="0.2">
      <c r="C83" s="14" t="s">
        <v>272</v>
      </c>
      <c r="D83" s="416" t="s">
        <v>89</v>
      </c>
      <c r="E83" s="395"/>
      <c r="F83" s="225">
        <v>15000000</v>
      </c>
      <c r="G83" s="225">
        <v>9500000</v>
      </c>
      <c r="H83" s="224"/>
      <c r="I83" s="224"/>
      <c r="J83" s="187">
        <f t="shared" si="39"/>
        <v>24500000</v>
      </c>
    </row>
    <row r="84" spans="3:10" ht="37.5" customHeight="1" x14ac:dyDescent="0.2">
      <c r="C84" s="14" t="s">
        <v>273</v>
      </c>
      <c r="D84" s="416" t="s">
        <v>39</v>
      </c>
      <c r="E84" s="395"/>
      <c r="F84" s="225">
        <v>10500000</v>
      </c>
      <c r="G84" s="225">
        <v>4800000</v>
      </c>
      <c r="H84" s="224"/>
      <c r="I84" s="224"/>
      <c r="J84" s="187">
        <f t="shared" si="39"/>
        <v>15300000</v>
      </c>
    </row>
    <row r="85" spans="3:10" ht="37.5" customHeight="1" x14ac:dyDescent="0.2">
      <c r="C85" s="15" t="s">
        <v>274</v>
      </c>
      <c r="D85" s="417" t="s">
        <v>40</v>
      </c>
      <c r="E85" s="216">
        <f>SUM(E86:E87)</f>
        <v>32180000</v>
      </c>
      <c r="F85" s="216">
        <f t="shared" ref="F85" si="41">SUM(F86:F87)</f>
        <v>19850000</v>
      </c>
      <c r="G85" s="216">
        <f t="shared" ref="G85" si="42">SUM(G86:G87)</f>
        <v>0</v>
      </c>
      <c r="H85" s="216">
        <f t="shared" ref="H85" si="43">SUM(H86:H87)</f>
        <v>0</v>
      </c>
      <c r="I85" s="216">
        <f t="shared" ref="I85" si="44">SUM(I86:I87)</f>
        <v>0</v>
      </c>
      <c r="J85" s="277">
        <f>SUM(E85:I85)</f>
        <v>52030000</v>
      </c>
    </row>
    <row r="86" spans="3:10" ht="37.5" customHeight="1" x14ac:dyDescent="0.2">
      <c r="C86" s="14" t="s">
        <v>275</v>
      </c>
      <c r="D86" s="418" t="s">
        <v>41</v>
      </c>
      <c r="E86" s="395">
        <v>17845000</v>
      </c>
      <c r="F86" s="224"/>
      <c r="G86" s="224"/>
      <c r="H86" s="224"/>
      <c r="I86" s="224"/>
      <c r="J86" s="187">
        <f t="shared" ref="J86:J87" si="45">SUM(E86:I86)</f>
        <v>17845000</v>
      </c>
    </row>
    <row r="87" spans="3:10" ht="37.5" customHeight="1" x14ac:dyDescent="0.2">
      <c r="C87" s="14" t="s">
        <v>276</v>
      </c>
      <c r="D87" s="418" t="s">
        <v>20</v>
      </c>
      <c r="E87" s="394">
        <v>14335000</v>
      </c>
      <c r="F87" s="225">
        <v>19850000</v>
      </c>
      <c r="G87" s="225"/>
      <c r="H87" s="225"/>
      <c r="I87" s="225"/>
      <c r="J87" s="187">
        <f t="shared" si="45"/>
        <v>34185000</v>
      </c>
    </row>
    <row r="88" spans="3:10" ht="37.5" customHeight="1" x14ac:dyDescent="0.2">
      <c r="C88" s="13" t="s">
        <v>277</v>
      </c>
      <c r="D88" s="409" t="s">
        <v>21</v>
      </c>
      <c r="E88" s="216">
        <f>SUM(E89:E90)</f>
        <v>18100000</v>
      </c>
      <c r="F88" s="216">
        <f t="shared" ref="F88" si="46">SUM(F89:F90)</f>
        <v>0</v>
      </c>
      <c r="G88" s="216">
        <f t="shared" ref="G88" si="47">SUM(G89:G90)</f>
        <v>0</v>
      </c>
      <c r="H88" s="216">
        <f t="shared" ref="H88" si="48">SUM(H89:H90)</f>
        <v>0</v>
      </c>
      <c r="I88" s="216">
        <f t="shared" ref="I88" si="49">SUM(I89:I90)</f>
        <v>0</v>
      </c>
      <c r="J88" s="277">
        <f>SUM(E88:I88)</f>
        <v>18100000</v>
      </c>
    </row>
    <row r="89" spans="3:10" ht="37.5" customHeight="1" x14ac:dyDescent="0.2">
      <c r="C89" s="12" t="s">
        <v>278</v>
      </c>
      <c r="D89" s="419" t="s">
        <v>124</v>
      </c>
      <c r="E89" s="395">
        <v>18100000</v>
      </c>
      <c r="F89" s="224"/>
      <c r="G89" s="224"/>
      <c r="H89" s="224"/>
      <c r="I89" s="224"/>
      <c r="J89" s="187">
        <f t="shared" si="39"/>
        <v>18100000</v>
      </c>
    </row>
    <row r="90" spans="3:10" ht="37.5" customHeight="1" x14ac:dyDescent="0.2">
      <c r="C90" s="12" t="s">
        <v>279</v>
      </c>
      <c r="D90" s="419" t="s">
        <v>125</v>
      </c>
      <c r="E90" s="394"/>
      <c r="F90" s="225"/>
      <c r="G90" s="225"/>
      <c r="H90" s="225"/>
      <c r="I90" s="225"/>
      <c r="J90" s="187">
        <f t="shared" si="39"/>
        <v>0</v>
      </c>
    </row>
    <row r="91" spans="3:10" ht="33" customHeight="1" x14ac:dyDescent="0.2">
      <c r="C91" s="12" t="s">
        <v>280</v>
      </c>
      <c r="D91" s="408" t="s">
        <v>126</v>
      </c>
      <c r="E91" s="395">
        <v>1957800000</v>
      </c>
      <c r="F91" s="224">
        <v>117300000</v>
      </c>
      <c r="G91" s="224">
        <v>73450000</v>
      </c>
      <c r="H91" s="224">
        <v>0</v>
      </c>
      <c r="I91" s="224">
        <v>8235000</v>
      </c>
      <c r="J91" s="187">
        <f t="shared" si="39"/>
        <v>2156785000</v>
      </c>
    </row>
    <row r="92" spans="3:10" ht="33" customHeight="1" x14ac:dyDescent="0.2">
      <c r="C92" s="12" t="s">
        <v>281</v>
      </c>
      <c r="D92" s="408" t="s">
        <v>74</v>
      </c>
      <c r="E92" s="395">
        <v>408700000</v>
      </c>
      <c r="F92" s="224">
        <v>153600000</v>
      </c>
      <c r="G92" s="227"/>
      <c r="H92" s="227"/>
      <c r="I92" s="227"/>
      <c r="J92" s="187">
        <f t="shared" si="39"/>
        <v>562300000</v>
      </c>
    </row>
    <row r="93" spans="3:10" ht="31.5" customHeight="1" x14ac:dyDescent="0.2">
      <c r="C93" s="12" t="s">
        <v>282</v>
      </c>
      <c r="D93" s="406" t="s">
        <v>90</v>
      </c>
      <c r="E93" s="396"/>
      <c r="F93" s="227"/>
      <c r="G93" s="227"/>
      <c r="H93" s="227"/>
      <c r="I93" s="227"/>
      <c r="J93" s="187">
        <f t="shared" si="39"/>
        <v>0</v>
      </c>
    </row>
    <row r="94" spans="3:10" ht="39" customHeight="1" x14ac:dyDescent="0.2">
      <c r="C94" s="12" t="s">
        <v>283</v>
      </c>
      <c r="D94" s="420" t="s">
        <v>42</v>
      </c>
      <c r="E94" s="396">
        <v>7500000</v>
      </c>
      <c r="F94" s="226">
        <v>11500000</v>
      </c>
      <c r="G94" s="227"/>
      <c r="H94" s="227"/>
      <c r="I94" s="227"/>
      <c r="J94" s="187">
        <f t="shared" si="39"/>
        <v>19000000</v>
      </c>
    </row>
    <row r="95" spans="3:10" ht="39" customHeight="1" x14ac:dyDescent="0.2">
      <c r="C95" s="12" t="s">
        <v>284</v>
      </c>
      <c r="D95" s="421" t="s">
        <v>43</v>
      </c>
      <c r="E95" s="395">
        <v>15000000</v>
      </c>
      <c r="F95" s="224"/>
      <c r="G95" s="224"/>
      <c r="H95" s="224"/>
      <c r="I95" s="224"/>
      <c r="J95" s="187">
        <f t="shared" si="39"/>
        <v>15000000</v>
      </c>
    </row>
    <row r="96" spans="3:10" ht="39" customHeight="1" x14ac:dyDescent="0.2">
      <c r="C96" s="28" t="s">
        <v>285</v>
      </c>
      <c r="D96" s="407" t="s">
        <v>44</v>
      </c>
      <c r="E96" s="280">
        <f>E97+E102</f>
        <v>588850000</v>
      </c>
      <c r="F96" s="275">
        <f t="shared" ref="F96:I96" si="50">F97+F102</f>
        <v>499400000</v>
      </c>
      <c r="G96" s="275">
        <f t="shared" si="50"/>
        <v>267450000</v>
      </c>
      <c r="H96" s="275">
        <f t="shared" si="50"/>
        <v>0</v>
      </c>
      <c r="I96" s="275">
        <f t="shared" si="50"/>
        <v>0</v>
      </c>
      <c r="J96" s="278">
        <f t="shared" si="39"/>
        <v>1355700000</v>
      </c>
    </row>
    <row r="97" spans="3:10" ht="39" customHeight="1" x14ac:dyDescent="0.2">
      <c r="C97" s="28" t="s">
        <v>286</v>
      </c>
      <c r="D97" s="411" t="s">
        <v>45</v>
      </c>
      <c r="E97" s="216">
        <f>E98+E101</f>
        <v>50600000</v>
      </c>
      <c r="F97" s="206">
        <f t="shared" ref="F97:I97" si="51">F98+F101</f>
        <v>27100000</v>
      </c>
      <c r="G97" s="206">
        <f t="shared" si="51"/>
        <v>17950000</v>
      </c>
      <c r="H97" s="206">
        <f t="shared" si="51"/>
        <v>0</v>
      </c>
      <c r="I97" s="206">
        <f t="shared" si="51"/>
        <v>0</v>
      </c>
      <c r="J97" s="277">
        <f t="shared" si="39"/>
        <v>95650000</v>
      </c>
    </row>
    <row r="98" spans="3:10" ht="39" customHeight="1" x14ac:dyDescent="0.2">
      <c r="C98" s="29" t="s">
        <v>287</v>
      </c>
      <c r="D98" s="422" t="s">
        <v>75</v>
      </c>
      <c r="E98" s="216">
        <f>E99+E100</f>
        <v>19000000</v>
      </c>
      <c r="F98" s="206">
        <f t="shared" ref="F98:I98" si="52">F99+F100</f>
        <v>12500000</v>
      </c>
      <c r="G98" s="206">
        <f t="shared" si="52"/>
        <v>9500000</v>
      </c>
      <c r="H98" s="206">
        <f t="shared" si="52"/>
        <v>0</v>
      </c>
      <c r="I98" s="206">
        <f t="shared" si="52"/>
        <v>0</v>
      </c>
      <c r="J98" s="277">
        <f t="shared" si="39"/>
        <v>41000000</v>
      </c>
    </row>
    <row r="99" spans="3:10" ht="39" customHeight="1" x14ac:dyDescent="0.2">
      <c r="C99" s="30" t="s">
        <v>288</v>
      </c>
      <c r="D99" s="423" t="s">
        <v>113</v>
      </c>
      <c r="E99" s="397">
        <v>8400000</v>
      </c>
      <c r="F99" s="228">
        <v>5800000</v>
      </c>
      <c r="G99" s="228">
        <v>4350000</v>
      </c>
      <c r="H99" s="228"/>
      <c r="I99" s="228"/>
      <c r="J99" s="187">
        <f t="shared" si="39"/>
        <v>18550000</v>
      </c>
    </row>
    <row r="100" spans="3:10" ht="39" customHeight="1" x14ac:dyDescent="0.2">
      <c r="C100" s="30" t="s">
        <v>289</v>
      </c>
      <c r="D100" s="423" t="s">
        <v>114</v>
      </c>
      <c r="E100" s="397">
        <v>10600000</v>
      </c>
      <c r="F100" s="228">
        <v>6700000</v>
      </c>
      <c r="G100" s="228">
        <v>5150000</v>
      </c>
      <c r="H100" s="228"/>
      <c r="I100" s="228"/>
      <c r="J100" s="187">
        <f t="shared" si="39"/>
        <v>22450000</v>
      </c>
    </row>
    <row r="101" spans="3:10" ht="39" customHeight="1" x14ac:dyDescent="0.2">
      <c r="C101" s="30" t="s">
        <v>290</v>
      </c>
      <c r="D101" s="424" t="s">
        <v>107</v>
      </c>
      <c r="E101" s="397">
        <v>31600000</v>
      </c>
      <c r="F101" s="228">
        <v>14600000</v>
      </c>
      <c r="G101" s="228">
        <v>8450000</v>
      </c>
      <c r="H101" s="228"/>
      <c r="I101" s="228"/>
      <c r="J101" s="187">
        <f t="shared" si="39"/>
        <v>54650000</v>
      </c>
    </row>
    <row r="102" spans="3:10" ht="42" customHeight="1" x14ac:dyDescent="0.2">
      <c r="C102" s="28" t="s">
        <v>291</v>
      </c>
      <c r="D102" s="409" t="s">
        <v>48</v>
      </c>
      <c r="E102" s="216">
        <f>SUM(E103:E107)</f>
        <v>538250000</v>
      </c>
      <c r="F102" s="206">
        <f t="shared" ref="F102:I102" si="53">SUM(F103:F107)</f>
        <v>472300000</v>
      </c>
      <c r="G102" s="206">
        <f t="shared" si="53"/>
        <v>249500000</v>
      </c>
      <c r="H102" s="206">
        <f t="shared" si="53"/>
        <v>0</v>
      </c>
      <c r="I102" s="206">
        <f t="shared" si="53"/>
        <v>0</v>
      </c>
      <c r="J102" s="277">
        <f t="shared" ref="J102" si="54">SUM(E102:I102)</f>
        <v>1260050000</v>
      </c>
    </row>
    <row r="103" spans="3:10" ht="39.75" customHeight="1" x14ac:dyDescent="0.2">
      <c r="C103" s="27" t="s">
        <v>292</v>
      </c>
      <c r="D103" s="425" t="s">
        <v>49</v>
      </c>
      <c r="E103" s="398">
        <v>150000000</v>
      </c>
      <c r="F103" s="229">
        <v>210000000</v>
      </c>
      <c r="G103" s="229">
        <v>105000000</v>
      </c>
      <c r="H103" s="229"/>
      <c r="I103" s="229"/>
      <c r="J103" s="187">
        <f t="shared" si="39"/>
        <v>465000000</v>
      </c>
    </row>
    <row r="104" spans="3:10" ht="30" customHeight="1" x14ac:dyDescent="0.2">
      <c r="C104" s="27" t="s">
        <v>293</v>
      </c>
      <c r="D104" s="425" t="s">
        <v>94</v>
      </c>
      <c r="E104" s="398">
        <v>230000000</v>
      </c>
      <c r="F104" s="229">
        <v>185000000</v>
      </c>
      <c r="G104" s="229">
        <v>125000000</v>
      </c>
      <c r="H104" s="222"/>
      <c r="I104" s="222"/>
      <c r="J104" s="187">
        <f t="shared" si="39"/>
        <v>540000000</v>
      </c>
    </row>
    <row r="105" spans="3:10" ht="34.5" customHeight="1" x14ac:dyDescent="0.2">
      <c r="C105" s="27" t="s">
        <v>294</v>
      </c>
      <c r="D105" s="425" t="s">
        <v>50</v>
      </c>
      <c r="E105" s="393">
        <v>19235000</v>
      </c>
      <c r="F105" s="222">
        <v>13500000</v>
      </c>
      <c r="G105" s="222">
        <v>2800000</v>
      </c>
      <c r="H105" s="222"/>
      <c r="I105" s="222"/>
      <c r="J105" s="187">
        <f t="shared" si="39"/>
        <v>35535000</v>
      </c>
    </row>
    <row r="106" spans="3:10" ht="33.75" customHeight="1" x14ac:dyDescent="0.2">
      <c r="C106" s="27" t="s">
        <v>295</v>
      </c>
      <c r="D106" s="425" t="s">
        <v>51</v>
      </c>
      <c r="E106" s="393">
        <v>108780000</v>
      </c>
      <c r="F106" s="222">
        <v>63800000</v>
      </c>
      <c r="G106" s="222">
        <v>16700000</v>
      </c>
      <c r="H106" s="222"/>
      <c r="I106" s="222"/>
      <c r="J106" s="187">
        <f t="shared" si="39"/>
        <v>189280000</v>
      </c>
    </row>
    <row r="107" spans="3:10" ht="46.5" customHeight="1" x14ac:dyDescent="0.2">
      <c r="C107" s="27" t="s">
        <v>296</v>
      </c>
      <c r="D107" s="426" t="s">
        <v>95</v>
      </c>
      <c r="E107" s="393">
        <v>30235000</v>
      </c>
      <c r="F107" s="222"/>
      <c r="G107" s="222"/>
      <c r="H107" s="222"/>
      <c r="I107" s="222"/>
      <c r="J107" s="187">
        <f t="shared" si="39"/>
        <v>30235000</v>
      </c>
    </row>
    <row r="108" spans="3:10" ht="34.5" customHeight="1" x14ac:dyDescent="0.2">
      <c r="C108" s="26" t="s">
        <v>297</v>
      </c>
      <c r="D108" s="407" t="s">
        <v>52</v>
      </c>
      <c r="E108" s="399">
        <f>SUM(E109:E112)</f>
        <v>3700000000</v>
      </c>
      <c r="F108" s="301">
        <f t="shared" ref="F108:I108" si="55">SUM(F109:F112)</f>
        <v>0</v>
      </c>
      <c r="G108" s="301">
        <f t="shared" si="55"/>
        <v>0</v>
      </c>
      <c r="H108" s="301">
        <f t="shared" si="55"/>
        <v>0</v>
      </c>
      <c r="I108" s="301">
        <f t="shared" si="55"/>
        <v>0</v>
      </c>
      <c r="J108" s="278">
        <f t="shared" si="39"/>
        <v>3700000000</v>
      </c>
    </row>
    <row r="109" spans="3:10" ht="33" customHeight="1" x14ac:dyDescent="0.2">
      <c r="C109" s="14" t="s">
        <v>298</v>
      </c>
      <c r="D109" s="406" t="s">
        <v>53</v>
      </c>
      <c r="E109" s="393">
        <v>2100000000</v>
      </c>
      <c r="F109" s="222"/>
      <c r="G109" s="222"/>
      <c r="H109" s="222"/>
      <c r="I109" s="222"/>
      <c r="J109" s="187">
        <f t="shared" si="39"/>
        <v>2100000000</v>
      </c>
    </row>
    <row r="110" spans="3:10" ht="38.25" customHeight="1" x14ac:dyDescent="0.2">
      <c r="C110" s="14" t="s">
        <v>299</v>
      </c>
      <c r="D110" s="406" t="s">
        <v>54</v>
      </c>
      <c r="E110" s="393">
        <v>1600000000</v>
      </c>
      <c r="F110" s="222"/>
      <c r="G110" s="222"/>
      <c r="H110" s="222"/>
      <c r="I110" s="222"/>
      <c r="J110" s="187">
        <f t="shared" si="39"/>
        <v>1600000000</v>
      </c>
    </row>
    <row r="111" spans="3:10" ht="54.75" customHeight="1" x14ac:dyDescent="0.2">
      <c r="C111" s="14" t="s">
        <v>300</v>
      </c>
      <c r="D111" s="406" t="s">
        <v>55</v>
      </c>
      <c r="E111" s="393"/>
      <c r="F111" s="222"/>
      <c r="G111" s="222"/>
      <c r="H111" s="222"/>
      <c r="I111" s="222"/>
      <c r="J111" s="187">
        <f t="shared" si="39"/>
        <v>0</v>
      </c>
    </row>
    <row r="112" spans="3:10" ht="32.25" customHeight="1" x14ac:dyDescent="0.2">
      <c r="C112" s="14" t="s">
        <v>301</v>
      </c>
      <c r="D112" s="406" t="s">
        <v>56</v>
      </c>
      <c r="E112" s="393"/>
      <c r="F112" s="222"/>
      <c r="G112" s="222"/>
      <c r="H112" s="222"/>
      <c r="I112" s="222"/>
      <c r="J112" s="187">
        <f t="shared" si="39"/>
        <v>0</v>
      </c>
    </row>
    <row r="113" spans="2:13" ht="31.5" customHeight="1" x14ac:dyDescent="0.2">
      <c r="C113" s="26" t="s">
        <v>302</v>
      </c>
      <c r="D113" s="407" t="s">
        <v>57</v>
      </c>
      <c r="E113" s="280">
        <f>SUM(E114:E116)+E120+E121</f>
        <v>2845000000</v>
      </c>
      <c r="F113" s="275">
        <f t="shared" ref="F113:I113" si="56">SUM(F114:F116)+F120+F121</f>
        <v>710000000</v>
      </c>
      <c r="G113" s="275">
        <f t="shared" si="56"/>
        <v>493000000</v>
      </c>
      <c r="H113" s="275">
        <f t="shared" si="56"/>
        <v>0</v>
      </c>
      <c r="I113" s="275">
        <f t="shared" si="56"/>
        <v>0</v>
      </c>
      <c r="J113" s="278">
        <f t="shared" ref="J113" si="57">SUM(E113:I113)</f>
        <v>4048000000</v>
      </c>
    </row>
    <row r="114" spans="2:13" ht="36.75" customHeight="1" x14ac:dyDescent="0.2">
      <c r="C114" s="27" t="s">
        <v>303</v>
      </c>
      <c r="D114" s="427" t="s">
        <v>76</v>
      </c>
      <c r="E114" s="400">
        <v>280000000</v>
      </c>
      <c r="F114" s="230">
        <v>175000000</v>
      </c>
      <c r="G114" s="230">
        <v>75000000</v>
      </c>
      <c r="H114" s="230"/>
      <c r="I114" s="230"/>
      <c r="J114" s="187">
        <f t="shared" si="39"/>
        <v>530000000</v>
      </c>
      <c r="M114" s="31"/>
    </row>
    <row r="115" spans="2:13" ht="33.75" customHeight="1" x14ac:dyDescent="0.2">
      <c r="C115" s="27" t="s">
        <v>304</v>
      </c>
      <c r="D115" s="427" t="s">
        <v>22</v>
      </c>
      <c r="E115" s="400">
        <v>1600000000</v>
      </c>
      <c r="F115" s="230"/>
      <c r="G115" s="230"/>
      <c r="H115" s="230"/>
      <c r="I115" s="230"/>
      <c r="J115" s="187">
        <f t="shared" si="39"/>
        <v>1600000000</v>
      </c>
      <c r="M115" s="31"/>
    </row>
    <row r="116" spans="2:13" ht="30.75" customHeight="1" x14ac:dyDescent="0.2">
      <c r="C116" s="26" t="s">
        <v>305</v>
      </c>
      <c r="D116" s="428" t="s">
        <v>58</v>
      </c>
      <c r="E116" s="216">
        <f>SUM(E117:E119)</f>
        <v>885000000</v>
      </c>
      <c r="F116" s="206">
        <f t="shared" ref="F116:I116" si="58">SUM(F117:F119)</f>
        <v>520000000</v>
      </c>
      <c r="G116" s="206">
        <f t="shared" si="58"/>
        <v>418000000</v>
      </c>
      <c r="H116" s="206">
        <f t="shared" si="58"/>
        <v>0</v>
      </c>
      <c r="I116" s="206">
        <f t="shared" si="58"/>
        <v>0</v>
      </c>
      <c r="J116" s="277">
        <f t="shared" si="39"/>
        <v>1823000000</v>
      </c>
      <c r="M116" s="31"/>
    </row>
    <row r="117" spans="2:13" ht="39" customHeight="1" x14ac:dyDescent="0.2">
      <c r="C117" s="27" t="s">
        <v>306</v>
      </c>
      <c r="D117" s="425" t="s">
        <v>102</v>
      </c>
      <c r="E117" s="393">
        <v>150000000</v>
      </c>
      <c r="F117" s="222">
        <v>125000000</v>
      </c>
      <c r="G117" s="222">
        <v>105000000</v>
      </c>
      <c r="H117" s="231"/>
      <c r="I117" s="231"/>
      <c r="J117" s="187">
        <f t="shared" si="39"/>
        <v>380000000</v>
      </c>
      <c r="M117" s="39"/>
    </row>
    <row r="118" spans="2:13" ht="39" customHeight="1" x14ac:dyDescent="0.2">
      <c r="C118" s="27" t="s">
        <v>307</v>
      </c>
      <c r="D118" s="425" t="s">
        <v>101</v>
      </c>
      <c r="E118" s="393">
        <v>50000000</v>
      </c>
      <c r="F118" s="222">
        <v>75000000</v>
      </c>
      <c r="G118" s="222">
        <v>48000000</v>
      </c>
      <c r="H118" s="231"/>
      <c r="I118" s="231"/>
      <c r="J118" s="187">
        <f t="shared" si="39"/>
        <v>173000000</v>
      </c>
      <c r="M118" s="39"/>
    </row>
    <row r="119" spans="2:13" ht="38.25" customHeight="1" x14ac:dyDescent="0.2">
      <c r="C119" s="27" t="s">
        <v>308</v>
      </c>
      <c r="D119" s="425" t="s">
        <v>77</v>
      </c>
      <c r="E119" s="393">
        <v>685000000</v>
      </c>
      <c r="F119" s="222">
        <v>320000000</v>
      </c>
      <c r="G119" s="222">
        <v>265000000</v>
      </c>
      <c r="H119" s="231"/>
      <c r="I119" s="231"/>
      <c r="J119" s="187">
        <f t="shared" si="39"/>
        <v>1270000000</v>
      </c>
      <c r="M119" s="31"/>
    </row>
    <row r="120" spans="2:13" ht="33" customHeight="1" x14ac:dyDescent="0.2">
      <c r="C120" s="27" t="s">
        <v>309</v>
      </c>
      <c r="D120" s="406" t="s">
        <v>672</v>
      </c>
      <c r="E120" s="393">
        <v>60000000</v>
      </c>
      <c r="F120" s="232"/>
      <c r="G120" s="232"/>
      <c r="H120" s="232"/>
      <c r="I120" s="232"/>
      <c r="J120" s="187">
        <f t="shared" si="39"/>
        <v>60000000</v>
      </c>
      <c r="M120" s="31"/>
    </row>
    <row r="121" spans="2:13" ht="30.75" customHeight="1" x14ac:dyDescent="0.2">
      <c r="C121" s="14" t="s">
        <v>310</v>
      </c>
      <c r="D121" s="429" t="s">
        <v>59</v>
      </c>
      <c r="E121" s="393">
        <v>20000000</v>
      </c>
      <c r="F121" s="222">
        <v>15000000</v>
      </c>
      <c r="G121" s="222"/>
      <c r="H121" s="222"/>
      <c r="I121" s="222"/>
      <c r="J121" s="187">
        <f t="shared" si="39"/>
        <v>35000000</v>
      </c>
      <c r="M121" s="31"/>
    </row>
    <row r="122" spans="2:13" ht="30.75" customHeight="1" x14ac:dyDescent="0.2">
      <c r="C122" s="26" t="s">
        <v>613</v>
      </c>
      <c r="D122" s="407" t="s">
        <v>614</v>
      </c>
      <c r="E122" s="280">
        <f>SUM(E123:E125)</f>
        <v>260900000</v>
      </c>
      <c r="F122" s="275">
        <f t="shared" ref="F122:I122" si="59">SUM(F123:F125)</f>
        <v>105230000</v>
      </c>
      <c r="G122" s="275">
        <f t="shared" si="59"/>
        <v>43830000</v>
      </c>
      <c r="H122" s="275">
        <f t="shared" si="59"/>
        <v>180000</v>
      </c>
      <c r="I122" s="275">
        <f t="shared" si="59"/>
        <v>750000</v>
      </c>
      <c r="J122" s="278">
        <f t="shared" si="39"/>
        <v>410890000</v>
      </c>
      <c r="M122" s="31"/>
    </row>
    <row r="123" spans="2:13" ht="30.75" customHeight="1" x14ac:dyDescent="0.2">
      <c r="C123" s="14" t="s">
        <v>615</v>
      </c>
      <c r="D123" s="429" t="s">
        <v>616</v>
      </c>
      <c r="E123" s="393">
        <v>80630000</v>
      </c>
      <c r="F123" s="222">
        <v>91630000</v>
      </c>
      <c r="G123" s="222">
        <v>36630000</v>
      </c>
      <c r="H123" s="222"/>
      <c r="I123" s="222"/>
      <c r="J123" s="187">
        <f t="shared" si="39"/>
        <v>208890000</v>
      </c>
      <c r="M123" s="31"/>
    </row>
    <row r="124" spans="2:13" ht="30.75" customHeight="1" x14ac:dyDescent="0.2">
      <c r="C124" s="14" t="s">
        <v>637</v>
      </c>
      <c r="D124" s="429" t="s">
        <v>640</v>
      </c>
      <c r="E124" s="393">
        <v>137470000</v>
      </c>
      <c r="F124" s="222"/>
      <c r="G124" s="222"/>
      <c r="H124" s="222"/>
      <c r="I124" s="222"/>
      <c r="J124" s="187">
        <f t="shared" si="39"/>
        <v>137470000</v>
      </c>
      <c r="M124" s="31"/>
    </row>
    <row r="125" spans="2:13" ht="33.75" customHeight="1" thickBot="1" x14ac:dyDescent="0.25">
      <c r="C125" s="38" t="s">
        <v>638</v>
      </c>
      <c r="D125" s="430" t="s">
        <v>639</v>
      </c>
      <c r="E125" s="401">
        <v>42800000</v>
      </c>
      <c r="F125" s="233">
        <v>13600000</v>
      </c>
      <c r="G125" s="233">
        <v>7200000</v>
      </c>
      <c r="H125" s="233">
        <v>180000</v>
      </c>
      <c r="I125" s="233">
        <v>750000</v>
      </c>
      <c r="J125" s="188">
        <f>SUM(E125:I125)</f>
        <v>64530000</v>
      </c>
    </row>
    <row r="126" spans="2:13" ht="33" customHeight="1" thickBot="1" x14ac:dyDescent="0.25">
      <c r="B126" s="31"/>
      <c r="C126" s="31"/>
      <c r="D126" s="31"/>
      <c r="E126" s="35"/>
      <c r="F126" s="36"/>
      <c r="G126" s="36"/>
      <c r="H126" s="36"/>
      <c r="I126" s="36"/>
      <c r="J126" s="189"/>
      <c r="K126" s="31"/>
    </row>
    <row r="127" spans="2:13" ht="33" customHeight="1" thickBot="1" x14ac:dyDescent="0.25">
      <c r="C127" s="4">
        <v>30</v>
      </c>
      <c r="D127" s="442" t="s">
        <v>23</v>
      </c>
      <c r="E127" s="431">
        <f>E128+E132+E142+E145+E148+E155</f>
        <v>6568265600</v>
      </c>
      <c r="F127" s="284">
        <f t="shared" ref="F127:I127" si="60">F128+F132+F142+F145+F148+F155</f>
        <v>1651830100</v>
      </c>
      <c r="G127" s="284">
        <f t="shared" si="60"/>
        <v>867990000</v>
      </c>
      <c r="H127" s="284">
        <f t="shared" si="60"/>
        <v>4170000</v>
      </c>
      <c r="I127" s="284">
        <f t="shared" si="60"/>
        <v>19850000</v>
      </c>
      <c r="J127" s="285">
        <f>SUM(E127:I127)</f>
        <v>9112105700</v>
      </c>
    </row>
    <row r="128" spans="2:13" ht="48.75" customHeight="1" x14ac:dyDescent="0.2">
      <c r="C128" s="13" t="s">
        <v>210</v>
      </c>
      <c r="D128" s="443" t="s">
        <v>80</v>
      </c>
      <c r="E128" s="432">
        <f>SUM(E129:E131)</f>
        <v>3328000000</v>
      </c>
      <c r="F128" s="286">
        <f t="shared" ref="F128:I128" si="61">SUM(F129:F131)</f>
        <v>785000000</v>
      </c>
      <c r="G128" s="286">
        <f t="shared" si="61"/>
        <v>433300000</v>
      </c>
      <c r="H128" s="286">
        <f t="shared" si="61"/>
        <v>0</v>
      </c>
      <c r="I128" s="286">
        <f t="shared" si="61"/>
        <v>0</v>
      </c>
      <c r="J128" s="287">
        <f>SUM(E128:I128)</f>
        <v>4546300000</v>
      </c>
    </row>
    <row r="129" spans="3:10" ht="37.5" customHeight="1" x14ac:dyDescent="0.2">
      <c r="C129" s="18" t="s">
        <v>211</v>
      </c>
      <c r="D129" s="406" t="s">
        <v>79</v>
      </c>
      <c r="E129" s="433">
        <v>1650000000</v>
      </c>
      <c r="F129" s="288">
        <v>375000000</v>
      </c>
      <c r="G129" s="288">
        <v>182000000</v>
      </c>
      <c r="H129" s="288"/>
      <c r="I129" s="288"/>
      <c r="J129" s="289">
        <f t="shared" ref="J129:J131" si="62">SUM(E129:I129)</f>
        <v>2207000000</v>
      </c>
    </row>
    <row r="130" spans="3:10" ht="42" customHeight="1" x14ac:dyDescent="0.2">
      <c r="C130" s="18" t="s">
        <v>212</v>
      </c>
      <c r="D130" s="406" t="s">
        <v>108</v>
      </c>
      <c r="E130" s="433">
        <v>928000000</v>
      </c>
      <c r="F130" s="288">
        <v>285000000</v>
      </c>
      <c r="G130" s="288">
        <v>147000000</v>
      </c>
      <c r="H130" s="290"/>
      <c r="I130" s="290"/>
      <c r="J130" s="289">
        <f t="shared" si="62"/>
        <v>1360000000</v>
      </c>
    </row>
    <row r="131" spans="3:10" ht="42.75" customHeight="1" x14ac:dyDescent="0.2">
      <c r="C131" s="18" t="s">
        <v>213</v>
      </c>
      <c r="D131" s="406" t="s">
        <v>100</v>
      </c>
      <c r="E131" s="433">
        <v>750000000</v>
      </c>
      <c r="F131" s="288">
        <v>125000000</v>
      </c>
      <c r="G131" s="288">
        <v>104300000</v>
      </c>
      <c r="H131" s="291"/>
      <c r="I131" s="291"/>
      <c r="J131" s="289">
        <f t="shared" si="62"/>
        <v>979300000</v>
      </c>
    </row>
    <row r="132" spans="3:10" ht="31.5" customHeight="1" x14ac:dyDescent="0.2">
      <c r="C132" s="13" t="s">
        <v>311</v>
      </c>
      <c r="D132" s="405" t="s">
        <v>60</v>
      </c>
      <c r="E132" s="432">
        <f>SUM(E133:E141)</f>
        <v>284995000</v>
      </c>
      <c r="F132" s="286">
        <f t="shared" ref="F132:I132" si="63">SUM(F133:F141)</f>
        <v>89700000</v>
      </c>
      <c r="G132" s="286">
        <f t="shared" si="63"/>
        <v>0</v>
      </c>
      <c r="H132" s="286">
        <f t="shared" si="63"/>
        <v>0</v>
      </c>
      <c r="I132" s="286">
        <f t="shared" si="63"/>
        <v>0</v>
      </c>
      <c r="J132" s="287">
        <f>SUM(E132:I132)</f>
        <v>374695000</v>
      </c>
    </row>
    <row r="133" spans="3:10" ht="37.5" customHeight="1" x14ac:dyDescent="0.2">
      <c r="C133" s="16" t="s">
        <v>312</v>
      </c>
      <c r="D133" s="444" t="s">
        <v>649</v>
      </c>
      <c r="E133" s="433">
        <v>83000000</v>
      </c>
      <c r="F133" s="288"/>
      <c r="G133" s="288"/>
      <c r="H133" s="288"/>
      <c r="I133" s="288"/>
      <c r="J133" s="289">
        <f t="shared" ref="J133:J141" si="64">SUM(E133:I133)</f>
        <v>83000000</v>
      </c>
    </row>
    <row r="134" spans="3:10" ht="33" customHeight="1" x14ac:dyDescent="0.2">
      <c r="C134" s="16" t="s">
        <v>313</v>
      </c>
      <c r="D134" s="444" t="s">
        <v>650</v>
      </c>
      <c r="E134" s="433">
        <v>108000000</v>
      </c>
      <c r="F134" s="288">
        <v>61900000</v>
      </c>
      <c r="G134" s="288"/>
      <c r="H134" s="288"/>
      <c r="I134" s="288"/>
      <c r="J134" s="289">
        <f t="shared" si="64"/>
        <v>169900000</v>
      </c>
    </row>
    <row r="135" spans="3:10" ht="33" customHeight="1" x14ac:dyDescent="0.2">
      <c r="C135" s="16" t="s">
        <v>314</v>
      </c>
      <c r="D135" s="444" t="s">
        <v>651</v>
      </c>
      <c r="E135" s="433"/>
      <c r="F135" s="288"/>
      <c r="G135" s="288"/>
      <c r="H135" s="288"/>
      <c r="I135" s="288"/>
      <c r="J135" s="289">
        <f t="shared" si="64"/>
        <v>0</v>
      </c>
    </row>
    <row r="136" spans="3:10" ht="33" customHeight="1" x14ac:dyDescent="0.2">
      <c r="C136" s="16" t="s">
        <v>315</v>
      </c>
      <c r="D136" s="406" t="s">
        <v>61</v>
      </c>
      <c r="E136" s="433">
        <v>41500000</v>
      </c>
      <c r="F136" s="288"/>
      <c r="G136" s="288"/>
      <c r="H136" s="288"/>
      <c r="I136" s="288"/>
      <c r="J136" s="289">
        <f t="shared" si="64"/>
        <v>41500000</v>
      </c>
    </row>
    <row r="137" spans="3:10" ht="33" customHeight="1" x14ac:dyDescent="0.2">
      <c r="C137" s="16" t="s">
        <v>316</v>
      </c>
      <c r="D137" s="406" t="s">
        <v>62</v>
      </c>
      <c r="E137" s="434">
        <v>17600000</v>
      </c>
      <c r="F137" s="288"/>
      <c r="G137" s="288"/>
      <c r="H137" s="288"/>
      <c r="I137" s="288"/>
      <c r="J137" s="289">
        <f t="shared" si="64"/>
        <v>17600000</v>
      </c>
    </row>
    <row r="138" spans="3:10" ht="39.75" customHeight="1" x14ac:dyDescent="0.2">
      <c r="C138" s="16" t="s">
        <v>652</v>
      </c>
      <c r="D138" s="406" t="s">
        <v>63</v>
      </c>
      <c r="E138" s="434">
        <v>9400000</v>
      </c>
      <c r="F138" s="288">
        <v>27800000</v>
      </c>
      <c r="G138" s="288"/>
      <c r="H138" s="288"/>
      <c r="I138" s="288"/>
      <c r="J138" s="289">
        <f t="shared" si="64"/>
        <v>37200000</v>
      </c>
    </row>
    <row r="139" spans="3:10" ht="39" customHeight="1" x14ac:dyDescent="0.2">
      <c r="C139" s="16" t="s">
        <v>653</v>
      </c>
      <c r="D139" s="406" t="s">
        <v>664</v>
      </c>
      <c r="E139" s="433"/>
      <c r="F139" s="288"/>
      <c r="G139" s="288"/>
      <c r="H139" s="288"/>
      <c r="I139" s="288"/>
      <c r="J139" s="289">
        <f t="shared" si="64"/>
        <v>0</v>
      </c>
    </row>
    <row r="140" spans="3:10" ht="39.75" customHeight="1" x14ac:dyDescent="0.2">
      <c r="C140" s="16" t="s">
        <v>656</v>
      </c>
      <c r="D140" s="406" t="s">
        <v>657</v>
      </c>
      <c r="E140" s="433">
        <v>16760000</v>
      </c>
      <c r="F140" s="288"/>
      <c r="G140" s="288"/>
      <c r="H140" s="288"/>
      <c r="I140" s="288"/>
      <c r="J140" s="289">
        <f t="shared" si="64"/>
        <v>16760000</v>
      </c>
    </row>
    <row r="141" spans="3:10" ht="39.75" customHeight="1" x14ac:dyDescent="0.2">
      <c r="C141" s="16" t="s">
        <v>659</v>
      </c>
      <c r="D141" s="406" t="s">
        <v>658</v>
      </c>
      <c r="E141" s="433">
        <v>8735000</v>
      </c>
      <c r="F141" s="288"/>
      <c r="G141" s="288"/>
      <c r="H141" s="288"/>
      <c r="I141" s="288"/>
      <c r="J141" s="289">
        <f t="shared" si="64"/>
        <v>8735000</v>
      </c>
    </row>
    <row r="142" spans="3:10" ht="31.5" customHeight="1" x14ac:dyDescent="0.2">
      <c r="C142" s="10" t="s">
        <v>317</v>
      </c>
      <c r="D142" s="445" t="s">
        <v>64</v>
      </c>
      <c r="E142" s="435">
        <f>SUM(E143:E144)</f>
        <v>532700000</v>
      </c>
      <c r="F142" s="293">
        <f t="shared" ref="F142:I142" si="65">SUM(F143:F144)</f>
        <v>441700000</v>
      </c>
      <c r="G142" s="293">
        <f t="shared" si="65"/>
        <v>285350000</v>
      </c>
      <c r="H142" s="293">
        <f t="shared" si="65"/>
        <v>4170000</v>
      </c>
      <c r="I142" s="293">
        <f t="shared" si="65"/>
        <v>16350000</v>
      </c>
      <c r="J142" s="287">
        <f>SUM(E142:I142)</f>
        <v>1280270000</v>
      </c>
    </row>
    <row r="143" spans="3:10" ht="31.5" customHeight="1" x14ac:dyDescent="0.2">
      <c r="C143" s="11" t="s">
        <v>318</v>
      </c>
      <c r="D143" s="404" t="s">
        <v>64</v>
      </c>
      <c r="E143" s="433">
        <v>528850000</v>
      </c>
      <c r="F143" s="288">
        <v>417850000</v>
      </c>
      <c r="G143" s="288">
        <v>285350000</v>
      </c>
      <c r="H143" s="288">
        <v>4170000</v>
      </c>
      <c r="I143" s="288">
        <v>16350000</v>
      </c>
      <c r="J143" s="289">
        <f t="shared" ref="J143:J144" si="66">SUM(E143:I143)</f>
        <v>1252570000</v>
      </c>
    </row>
    <row r="144" spans="3:10" ht="31.5" customHeight="1" x14ac:dyDescent="0.2">
      <c r="C144" s="11" t="s">
        <v>319</v>
      </c>
      <c r="D144" s="404" t="s">
        <v>69</v>
      </c>
      <c r="E144" s="433">
        <v>3850000</v>
      </c>
      <c r="F144" s="288">
        <v>23850000</v>
      </c>
      <c r="G144" s="288"/>
      <c r="H144" s="288"/>
      <c r="I144" s="288"/>
      <c r="J144" s="289">
        <f t="shared" si="66"/>
        <v>27700000</v>
      </c>
    </row>
    <row r="145" spans="3:10" ht="32.25" customHeight="1" x14ac:dyDescent="0.2">
      <c r="C145" s="19" t="s">
        <v>320</v>
      </c>
      <c r="D145" s="445" t="s">
        <v>24</v>
      </c>
      <c r="E145" s="435">
        <f>SUM(E146:E147)</f>
        <v>183150000</v>
      </c>
      <c r="F145" s="293">
        <f t="shared" ref="F145" si="67">SUM(F146:F147)</f>
        <v>126610000</v>
      </c>
      <c r="G145" s="293">
        <f t="shared" ref="G145" si="68">SUM(G146:G147)</f>
        <v>92000000</v>
      </c>
      <c r="H145" s="293">
        <f t="shared" ref="H145" si="69">SUM(H146:H147)</f>
        <v>0</v>
      </c>
      <c r="I145" s="293">
        <f t="shared" ref="I145" si="70">SUM(I146:I147)</f>
        <v>3500000</v>
      </c>
      <c r="J145" s="287">
        <f>SUM(E145:I145)</f>
        <v>405260000</v>
      </c>
    </row>
    <row r="146" spans="3:10" ht="38.25" customHeight="1" x14ac:dyDescent="0.2">
      <c r="C146" s="16" t="s">
        <v>321</v>
      </c>
      <c r="D146" s="406" t="s">
        <v>81</v>
      </c>
      <c r="E146" s="433">
        <v>137850000</v>
      </c>
      <c r="F146" s="288">
        <v>85760000</v>
      </c>
      <c r="G146" s="288">
        <v>65500000</v>
      </c>
      <c r="H146" s="288"/>
      <c r="I146" s="288">
        <v>3500000</v>
      </c>
      <c r="J146" s="289">
        <f t="shared" ref="J146:J147" si="71">SUM(E146:I146)</f>
        <v>292610000</v>
      </c>
    </row>
    <row r="147" spans="3:10" ht="39" customHeight="1" x14ac:dyDescent="0.2">
      <c r="C147" s="16" t="s">
        <v>322</v>
      </c>
      <c r="D147" s="406" t="s">
        <v>82</v>
      </c>
      <c r="E147" s="433">
        <v>45300000</v>
      </c>
      <c r="F147" s="288">
        <v>40850000</v>
      </c>
      <c r="G147" s="288">
        <v>26500000</v>
      </c>
      <c r="H147" s="288"/>
      <c r="I147" s="288"/>
      <c r="J147" s="289">
        <f t="shared" si="71"/>
        <v>112650000</v>
      </c>
    </row>
    <row r="148" spans="3:10" ht="32.25" customHeight="1" x14ac:dyDescent="0.2">
      <c r="C148" s="10" t="s">
        <v>323</v>
      </c>
      <c r="D148" s="445" t="s">
        <v>25</v>
      </c>
      <c r="E148" s="435">
        <f>E149+E152</f>
        <v>362250000</v>
      </c>
      <c r="F148" s="293">
        <f t="shared" ref="F148:I148" si="72">F149+F152</f>
        <v>108620000</v>
      </c>
      <c r="G148" s="293">
        <f t="shared" si="72"/>
        <v>20300000</v>
      </c>
      <c r="H148" s="293">
        <f t="shared" si="72"/>
        <v>0</v>
      </c>
      <c r="I148" s="293">
        <f t="shared" si="72"/>
        <v>0</v>
      </c>
      <c r="J148" s="287">
        <f>SUM(E148:I148)</f>
        <v>491170000</v>
      </c>
    </row>
    <row r="149" spans="3:10" ht="33" customHeight="1" x14ac:dyDescent="0.2">
      <c r="C149" s="10" t="s">
        <v>324</v>
      </c>
      <c r="D149" s="428" t="s">
        <v>83</v>
      </c>
      <c r="E149" s="436">
        <f>SUM(E150:E151)</f>
        <v>71150000</v>
      </c>
      <c r="F149" s="294">
        <f t="shared" ref="F149" si="73">SUM(F150:F151)</f>
        <v>32820000</v>
      </c>
      <c r="G149" s="294">
        <f t="shared" ref="G149" si="74">SUM(G150:G151)</f>
        <v>8000000</v>
      </c>
      <c r="H149" s="294">
        <f t="shared" ref="H149" si="75">SUM(H150:H151)</f>
        <v>0</v>
      </c>
      <c r="I149" s="294">
        <f t="shared" ref="I149" si="76">SUM(I150:I151)</f>
        <v>0</v>
      </c>
      <c r="J149" s="300">
        <f>SUM(E149:I149)</f>
        <v>111970000</v>
      </c>
    </row>
    <row r="150" spans="3:10" ht="37.5" customHeight="1" x14ac:dyDescent="0.2">
      <c r="C150" s="11" t="s">
        <v>325</v>
      </c>
      <c r="D150" s="425" t="s">
        <v>84</v>
      </c>
      <c r="E150" s="433">
        <v>57850000</v>
      </c>
      <c r="F150" s="288">
        <v>22680000</v>
      </c>
      <c r="G150" s="288">
        <v>6500000</v>
      </c>
      <c r="H150" s="288"/>
      <c r="I150" s="288"/>
      <c r="J150" s="289">
        <f t="shared" ref="J150:J151" si="77">SUM(E150:I150)</f>
        <v>87030000</v>
      </c>
    </row>
    <row r="151" spans="3:10" ht="37.5" customHeight="1" x14ac:dyDescent="0.2">
      <c r="C151" s="11" t="s">
        <v>326</v>
      </c>
      <c r="D151" s="425" t="s">
        <v>85</v>
      </c>
      <c r="E151" s="433">
        <v>13300000</v>
      </c>
      <c r="F151" s="288">
        <v>10140000</v>
      </c>
      <c r="G151" s="288">
        <v>1500000</v>
      </c>
      <c r="H151" s="288"/>
      <c r="I151" s="288"/>
      <c r="J151" s="289">
        <f t="shared" si="77"/>
        <v>24940000</v>
      </c>
    </row>
    <row r="152" spans="3:10" ht="33.75" customHeight="1" x14ac:dyDescent="0.2">
      <c r="C152" s="10" t="s">
        <v>327</v>
      </c>
      <c r="D152" s="428" t="s">
        <v>86</v>
      </c>
      <c r="E152" s="436">
        <f>SUM(E153:E154)</f>
        <v>291100000</v>
      </c>
      <c r="F152" s="294">
        <f t="shared" ref="F152" si="78">SUM(F153:F154)</f>
        <v>75800000</v>
      </c>
      <c r="G152" s="294">
        <f t="shared" ref="G152" si="79">SUM(G153:G154)</f>
        <v>12300000</v>
      </c>
      <c r="H152" s="294">
        <f t="shared" ref="H152" si="80">SUM(H153:H154)</f>
        <v>0</v>
      </c>
      <c r="I152" s="294">
        <f t="shared" ref="I152" si="81">SUM(I153:I154)</f>
        <v>0</v>
      </c>
      <c r="J152" s="300">
        <f>SUM(E152:I152)</f>
        <v>379200000</v>
      </c>
    </row>
    <row r="153" spans="3:10" ht="37.5" customHeight="1" x14ac:dyDescent="0.2">
      <c r="C153" s="11" t="s">
        <v>328</v>
      </c>
      <c r="D153" s="425" t="s">
        <v>46</v>
      </c>
      <c r="E153" s="433">
        <v>160800000</v>
      </c>
      <c r="F153" s="288">
        <v>40550000</v>
      </c>
      <c r="G153" s="288">
        <v>12300000</v>
      </c>
      <c r="H153" s="288"/>
      <c r="I153" s="288"/>
      <c r="J153" s="289">
        <f t="shared" ref="J153:J154" si="82">SUM(E153:I153)</f>
        <v>213650000</v>
      </c>
    </row>
    <row r="154" spans="3:10" ht="37.5" customHeight="1" x14ac:dyDescent="0.2">
      <c r="C154" s="11" t="s">
        <v>329</v>
      </c>
      <c r="D154" s="425" t="s">
        <v>47</v>
      </c>
      <c r="E154" s="433">
        <v>130300000</v>
      </c>
      <c r="F154" s="288">
        <v>35250000</v>
      </c>
      <c r="G154" s="288">
        <v>0</v>
      </c>
      <c r="H154" s="288"/>
      <c r="I154" s="288"/>
      <c r="J154" s="289">
        <f t="shared" si="82"/>
        <v>165550000</v>
      </c>
    </row>
    <row r="155" spans="3:10" ht="37.5" customHeight="1" x14ac:dyDescent="0.2">
      <c r="C155" s="19" t="s">
        <v>330</v>
      </c>
      <c r="D155" s="445" t="s">
        <v>65</v>
      </c>
      <c r="E155" s="435">
        <f>E156+E159+E164+E165</f>
        <v>1877170600</v>
      </c>
      <c r="F155" s="293">
        <f>F156+F159+F165</f>
        <v>100200100</v>
      </c>
      <c r="G155" s="293">
        <f t="shared" ref="G155:I155" si="83">G156+G159+G165</f>
        <v>37040000</v>
      </c>
      <c r="H155" s="293">
        <f t="shared" si="83"/>
        <v>0</v>
      </c>
      <c r="I155" s="293">
        <f t="shared" si="83"/>
        <v>0</v>
      </c>
      <c r="J155" s="295">
        <f>SUM(E155:I155)</f>
        <v>2014410700</v>
      </c>
    </row>
    <row r="156" spans="3:10" ht="37.5" customHeight="1" x14ac:dyDescent="0.2">
      <c r="C156" s="19" t="s">
        <v>331</v>
      </c>
      <c r="D156" s="446" t="s">
        <v>66</v>
      </c>
      <c r="E156" s="436">
        <f>E157+E158</f>
        <v>30000000</v>
      </c>
      <c r="F156" s="294">
        <f t="shared" ref="F156:I156" si="84">F157+F158</f>
        <v>0</v>
      </c>
      <c r="G156" s="294">
        <f t="shared" si="84"/>
        <v>0</v>
      </c>
      <c r="H156" s="294">
        <f t="shared" si="84"/>
        <v>0</v>
      </c>
      <c r="I156" s="294">
        <f t="shared" si="84"/>
        <v>0</v>
      </c>
      <c r="J156" s="296">
        <f>SUM(E156:I156)</f>
        <v>30000000</v>
      </c>
    </row>
    <row r="157" spans="3:10" ht="33" customHeight="1" x14ac:dyDescent="0.2">
      <c r="C157" s="16" t="s">
        <v>332</v>
      </c>
      <c r="D157" s="447" t="s">
        <v>127</v>
      </c>
      <c r="E157" s="433">
        <v>30000000</v>
      </c>
      <c r="F157" s="288"/>
      <c r="G157" s="288"/>
      <c r="H157" s="288"/>
      <c r="I157" s="288"/>
      <c r="J157" s="289">
        <f t="shared" ref="J157:J158" si="85">SUM(E157:I157)</f>
        <v>30000000</v>
      </c>
    </row>
    <row r="158" spans="3:10" ht="39" customHeight="1" x14ac:dyDescent="0.2">
      <c r="C158" s="16" t="s">
        <v>333</v>
      </c>
      <c r="D158" s="447" t="s">
        <v>128</v>
      </c>
      <c r="E158" s="433"/>
      <c r="F158" s="288"/>
      <c r="G158" s="288"/>
      <c r="H158" s="288"/>
      <c r="I158" s="288"/>
      <c r="J158" s="289">
        <f t="shared" si="85"/>
        <v>0</v>
      </c>
    </row>
    <row r="159" spans="3:10" ht="33.75" customHeight="1" x14ac:dyDescent="0.2">
      <c r="C159" s="19" t="s">
        <v>334</v>
      </c>
      <c r="D159" s="446" t="s">
        <v>67</v>
      </c>
      <c r="E159" s="437">
        <f>SUM(E160:E161)</f>
        <v>131300000</v>
      </c>
      <c r="F159" s="297">
        <f t="shared" ref="F159:I159" si="86">SUM(F160:F161)</f>
        <v>78915000</v>
      </c>
      <c r="G159" s="297">
        <f t="shared" si="86"/>
        <v>28300000</v>
      </c>
      <c r="H159" s="297">
        <f t="shared" si="86"/>
        <v>0</v>
      </c>
      <c r="I159" s="297">
        <f t="shared" si="86"/>
        <v>0</v>
      </c>
      <c r="J159" s="296">
        <f>SUM(E159:I159)</f>
        <v>238515000</v>
      </c>
    </row>
    <row r="160" spans="3:10" ht="38.25" customHeight="1" x14ac:dyDescent="0.2">
      <c r="C160" s="16" t="s">
        <v>335</v>
      </c>
      <c r="D160" s="447" t="s">
        <v>87</v>
      </c>
      <c r="E160" s="433">
        <v>27600000</v>
      </c>
      <c r="F160" s="288">
        <v>10600000</v>
      </c>
      <c r="G160" s="288"/>
      <c r="H160" s="288"/>
      <c r="I160" s="288"/>
      <c r="J160" s="289">
        <f t="shared" ref="J160:J161" si="87">SUM(E160:I160)</f>
        <v>38200000</v>
      </c>
    </row>
    <row r="161" spans="2:30" ht="30" customHeight="1" x14ac:dyDescent="0.2">
      <c r="C161" s="16" t="s">
        <v>336</v>
      </c>
      <c r="D161" s="447" t="s">
        <v>88</v>
      </c>
      <c r="E161" s="433">
        <v>103700000</v>
      </c>
      <c r="F161" s="288">
        <v>68315000</v>
      </c>
      <c r="G161" s="288">
        <v>28300000</v>
      </c>
      <c r="H161" s="288"/>
      <c r="I161" s="288"/>
      <c r="J161" s="289">
        <f t="shared" si="87"/>
        <v>200315000</v>
      </c>
    </row>
    <row r="162" spans="2:30" ht="30" customHeight="1" x14ac:dyDescent="0.2">
      <c r="C162" s="40" t="s">
        <v>337</v>
      </c>
      <c r="D162" s="448" t="s">
        <v>118</v>
      </c>
      <c r="E162" s="438">
        <v>2387600000</v>
      </c>
      <c r="F162" s="613"/>
      <c r="G162" s="614"/>
      <c r="H162" s="614"/>
      <c r="I162" s="615"/>
      <c r="J162" s="628"/>
    </row>
    <row r="163" spans="2:30" ht="30" customHeight="1" x14ac:dyDescent="0.2">
      <c r="C163" s="40" t="s">
        <v>338</v>
      </c>
      <c r="D163" s="449" t="s">
        <v>119</v>
      </c>
      <c r="E163" s="439">
        <v>0.69799999999999995</v>
      </c>
      <c r="F163" s="616"/>
      <c r="G163" s="617"/>
      <c r="H163" s="617"/>
      <c r="I163" s="618"/>
      <c r="J163" s="629"/>
    </row>
    <row r="164" spans="2:30" ht="30" customHeight="1" x14ac:dyDescent="0.2">
      <c r="C164" s="40" t="s">
        <v>645</v>
      </c>
      <c r="D164" s="450" t="s">
        <v>647</v>
      </c>
      <c r="E164" s="440">
        <f>E162*E163</f>
        <v>1666544800</v>
      </c>
      <c r="F164" s="619"/>
      <c r="G164" s="620"/>
      <c r="H164" s="620"/>
      <c r="I164" s="621"/>
      <c r="J164" s="289">
        <f t="shared" ref="J164" si="88">SUM(E164:I164)</f>
        <v>1666544800</v>
      </c>
    </row>
    <row r="165" spans="2:30" ht="30" customHeight="1" thickBot="1" x14ac:dyDescent="0.25">
      <c r="C165" s="41" t="s">
        <v>646</v>
      </c>
      <c r="D165" s="451" t="s">
        <v>648</v>
      </c>
      <c r="E165" s="441">
        <v>49325800</v>
      </c>
      <c r="F165" s="298">
        <v>21285100</v>
      </c>
      <c r="G165" s="298">
        <v>8740000</v>
      </c>
      <c r="H165" s="298"/>
      <c r="I165" s="298"/>
      <c r="J165" s="299">
        <f>SUM(E165:I165)</f>
        <v>79350900</v>
      </c>
    </row>
    <row r="166" spans="2:30" ht="21.75" customHeight="1" x14ac:dyDescent="0.2"/>
    <row r="167" spans="2:30" ht="21.75" customHeight="1" thickBot="1" x14ac:dyDescent="0.25">
      <c r="C167" s="20"/>
      <c r="D167" s="20"/>
      <c r="E167" s="20"/>
      <c r="F167" s="20"/>
      <c r="G167" s="20"/>
      <c r="H167" s="20"/>
    </row>
    <row r="168" spans="2:30" ht="39" customHeight="1" thickBot="1" x14ac:dyDescent="0.25">
      <c r="C168" s="118" t="s">
        <v>357</v>
      </c>
      <c r="D168" s="136" t="s">
        <v>129</v>
      </c>
      <c r="E168" s="306" t="s">
        <v>3</v>
      </c>
      <c r="F168" s="307" t="s">
        <v>666</v>
      </c>
      <c r="G168" s="308" t="s">
        <v>667</v>
      </c>
      <c r="H168" s="190"/>
      <c r="J168" s="1"/>
    </row>
    <row r="169" spans="2:30" ht="28.5" customHeight="1" x14ac:dyDescent="0.2">
      <c r="C169" s="94" t="s">
        <v>355</v>
      </c>
      <c r="D169" s="134" t="s">
        <v>131</v>
      </c>
      <c r="E169" s="320">
        <v>6000000000</v>
      </c>
      <c r="F169" s="302">
        <v>1000000000</v>
      </c>
      <c r="G169" s="321">
        <v>500000000</v>
      </c>
      <c r="H169" s="190"/>
      <c r="J169" s="1"/>
    </row>
    <row r="170" spans="2:30" ht="28.5" customHeight="1" thickBot="1" x14ac:dyDescent="0.25">
      <c r="C170" s="95" t="s">
        <v>356</v>
      </c>
      <c r="D170" s="131" t="s">
        <v>132</v>
      </c>
      <c r="E170" s="303">
        <v>7400000000</v>
      </c>
      <c r="F170" s="304">
        <v>1150000000</v>
      </c>
      <c r="G170" s="322">
        <v>425000000</v>
      </c>
      <c r="H170" s="190"/>
      <c r="J170" s="1"/>
    </row>
    <row r="171" spans="2:30" ht="42" customHeight="1" thickBot="1" x14ac:dyDescent="0.25"/>
    <row r="172" spans="2:30" ht="40.5" customHeight="1" thickBot="1" x14ac:dyDescent="0.25">
      <c r="B172" s="603" t="s">
        <v>358</v>
      </c>
      <c r="C172" s="604"/>
      <c r="D172" s="126" t="s">
        <v>133</v>
      </c>
      <c r="E172" s="57"/>
      <c r="F172" s="57"/>
      <c r="G172" s="57"/>
      <c r="H172" s="57"/>
      <c r="I172" s="57"/>
      <c r="J172" s="191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  <c r="AA172" s="57"/>
      <c r="AB172" s="57"/>
      <c r="AC172" s="57"/>
      <c r="AD172" s="58"/>
    </row>
    <row r="173" spans="2:30" ht="28.5" customHeight="1" thickBot="1" x14ac:dyDescent="0.25">
      <c r="B173" s="605"/>
      <c r="C173" s="606"/>
      <c r="D173" s="126" t="s">
        <v>612</v>
      </c>
      <c r="E173" s="127"/>
      <c r="F173" s="127"/>
      <c r="G173" s="127"/>
      <c r="H173" s="127"/>
      <c r="I173" s="127"/>
      <c r="J173" s="192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27"/>
      <c r="Z173" s="127"/>
      <c r="AA173" s="127"/>
      <c r="AB173" s="127"/>
      <c r="AC173" s="127"/>
      <c r="AD173" s="128"/>
    </row>
    <row r="174" spans="2:30" ht="28.5" customHeight="1" thickBot="1" x14ac:dyDescent="0.25">
      <c r="B174" s="605"/>
      <c r="C174" s="606"/>
      <c r="D174" s="126" t="s">
        <v>134</v>
      </c>
      <c r="E174" s="127"/>
      <c r="F174" s="127"/>
      <c r="G174" s="127"/>
      <c r="H174" s="127"/>
      <c r="I174" s="127"/>
      <c r="J174" s="192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27"/>
      <c r="Z174" s="127"/>
      <c r="AA174" s="127"/>
      <c r="AB174" s="127"/>
      <c r="AC174" s="127"/>
      <c r="AD174" s="128"/>
    </row>
    <row r="175" spans="2:30" ht="28.5" customHeight="1" thickBot="1" x14ac:dyDescent="0.25">
      <c r="B175" s="605"/>
      <c r="C175" s="606"/>
      <c r="D175" s="609" t="s">
        <v>135</v>
      </c>
      <c r="E175" s="611" t="s">
        <v>136</v>
      </c>
      <c r="F175" s="612"/>
      <c r="G175" s="611" t="s">
        <v>137</v>
      </c>
      <c r="H175" s="612"/>
      <c r="I175" s="611" t="s">
        <v>138</v>
      </c>
      <c r="J175" s="612"/>
      <c r="K175" s="611" t="s">
        <v>139</v>
      </c>
      <c r="L175" s="612"/>
      <c r="M175" s="611" t="s">
        <v>140</v>
      </c>
      <c r="N175" s="612"/>
      <c r="O175" s="611" t="s">
        <v>141</v>
      </c>
      <c r="P175" s="612"/>
      <c r="Q175" s="611" t="s">
        <v>142</v>
      </c>
      <c r="R175" s="612"/>
      <c r="S175" s="611" t="s">
        <v>143</v>
      </c>
      <c r="T175" s="612"/>
      <c r="U175" s="611" t="s">
        <v>144</v>
      </c>
      <c r="V175" s="612"/>
      <c r="W175" s="611" t="s">
        <v>145</v>
      </c>
      <c r="X175" s="612"/>
      <c r="Y175" s="611" t="s">
        <v>146</v>
      </c>
      <c r="Z175" s="612"/>
      <c r="AA175" s="611" t="s">
        <v>147</v>
      </c>
      <c r="AB175" s="612"/>
      <c r="AC175" s="611" t="s">
        <v>148</v>
      </c>
      <c r="AD175" s="612"/>
    </row>
    <row r="176" spans="2:30" ht="28.5" customHeight="1" thickBot="1" x14ac:dyDescent="0.25">
      <c r="B176" s="607"/>
      <c r="C176" s="608"/>
      <c r="D176" s="610"/>
      <c r="E176" s="59" t="s">
        <v>149</v>
      </c>
      <c r="F176" s="60" t="s">
        <v>150</v>
      </c>
      <c r="G176" s="59" t="s">
        <v>149</v>
      </c>
      <c r="H176" s="60" t="s">
        <v>150</v>
      </c>
      <c r="I176" s="193" t="s">
        <v>149</v>
      </c>
      <c r="J176" s="60" t="s">
        <v>150</v>
      </c>
      <c r="K176" s="59" t="s">
        <v>149</v>
      </c>
      <c r="L176" s="60" t="s">
        <v>150</v>
      </c>
      <c r="M176" s="59" t="s">
        <v>149</v>
      </c>
      <c r="N176" s="60" t="s">
        <v>150</v>
      </c>
      <c r="O176" s="59" t="s">
        <v>149</v>
      </c>
      <c r="P176" s="60" t="s">
        <v>150</v>
      </c>
      <c r="Q176" s="59" t="s">
        <v>149</v>
      </c>
      <c r="R176" s="60" t="s">
        <v>150</v>
      </c>
      <c r="S176" s="59" t="s">
        <v>149</v>
      </c>
      <c r="T176" s="60" t="s">
        <v>150</v>
      </c>
      <c r="U176" s="59" t="s">
        <v>149</v>
      </c>
      <c r="V176" s="60" t="s">
        <v>150</v>
      </c>
      <c r="W176" s="59" t="s">
        <v>149</v>
      </c>
      <c r="X176" s="60" t="s">
        <v>150</v>
      </c>
      <c r="Y176" s="59" t="s">
        <v>149</v>
      </c>
      <c r="Z176" s="60" t="s">
        <v>150</v>
      </c>
      <c r="AA176" s="59" t="s">
        <v>149</v>
      </c>
      <c r="AB176" s="60" t="s">
        <v>150</v>
      </c>
      <c r="AC176" s="59" t="s">
        <v>149</v>
      </c>
      <c r="AD176" s="60" t="s">
        <v>150</v>
      </c>
    </row>
    <row r="177" spans="2:30" ht="33.75" customHeight="1" x14ac:dyDescent="0.2">
      <c r="B177" s="630" t="s">
        <v>359</v>
      </c>
      <c r="C177" s="108" t="s">
        <v>360</v>
      </c>
      <c r="D177" s="124" t="s">
        <v>151</v>
      </c>
      <c r="E177" s="46">
        <v>183307443</v>
      </c>
      <c r="F177" s="47">
        <v>132104</v>
      </c>
      <c r="G177" s="46">
        <v>40597443</v>
      </c>
      <c r="H177" s="47">
        <v>5913</v>
      </c>
      <c r="I177" s="194">
        <v>8522187</v>
      </c>
      <c r="J177" s="47">
        <v>641</v>
      </c>
      <c r="K177" s="46">
        <v>4163479</v>
      </c>
      <c r="L177" s="47">
        <v>153</v>
      </c>
      <c r="M177" s="46">
        <v>1320955</v>
      </c>
      <c r="N177" s="47">
        <v>19</v>
      </c>
      <c r="O177" s="46">
        <v>308612</v>
      </c>
      <c r="P177" s="47">
        <v>2</v>
      </c>
      <c r="Q177" s="46">
        <v>0</v>
      </c>
      <c r="R177" s="47">
        <v>0</v>
      </c>
      <c r="S177" s="46">
        <v>0</v>
      </c>
      <c r="T177" s="47">
        <v>0</v>
      </c>
      <c r="U177" s="46">
        <v>0</v>
      </c>
      <c r="V177" s="47">
        <v>0</v>
      </c>
      <c r="W177" s="46">
        <v>0</v>
      </c>
      <c r="X177" s="47">
        <v>0</v>
      </c>
      <c r="Y177" s="46">
        <v>0</v>
      </c>
      <c r="Z177" s="47">
        <v>0</v>
      </c>
      <c r="AA177" s="46">
        <v>0</v>
      </c>
      <c r="AB177" s="47">
        <v>0</v>
      </c>
      <c r="AC177" s="46">
        <v>0</v>
      </c>
      <c r="AD177" s="47">
        <v>0</v>
      </c>
    </row>
    <row r="178" spans="2:30" ht="43.5" customHeight="1" x14ac:dyDescent="0.2">
      <c r="B178" s="631"/>
      <c r="C178" s="109" t="s">
        <v>361</v>
      </c>
      <c r="D178" s="122" t="s">
        <v>152</v>
      </c>
      <c r="E178" s="48">
        <v>43740481</v>
      </c>
      <c r="F178" s="49">
        <v>18753</v>
      </c>
      <c r="G178" s="48">
        <v>43591319</v>
      </c>
      <c r="H178" s="49">
        <v>6317</v>
      </c>
      <c r="I178" s="195">
        <v>11455783</v>
      </c>
      <c r="J178" s="49">
        <v>912</v>
      </c>
      <c r="K178" s="48">
        <v>2813835</v>
      </c>
      <c r="L178" s="49">
        <v>114</v>
      </c>
      <c r="M178" s="48">
        <v>435903</v>
      </c>
      <c r="N178" s="49">
        <v>7</v>
      </c>
      <c r="O178" s="48">
        <v>0</v>
      </c>
      <c r="P178" s="49">
        <v>0</v>
      </c>
      <c r="Q178" s="48">
        <v>0</v>
      </c>
      <c r="R178" s="49">
        <v>0</v>
      </c>
      <c r="S178" s="48">
        <v>0</v>
      </c>
      <c r="T178" s="49">
        <v>0</v>
      </c>
      <c r="U178" s="48">
        <v>0</v>
      </c>
      <c r="V178" s="49">
        <v>0</v>
      </c>
      <c r="W178" s="48">
        <v>0</v>
      </c>
      <c r="X178" s="49">
        <v>0</v>
      </c>
      <c r="Y178" s="48">
        <v>0</v>
      </c>
      <c r="Z178" s="49">
        <v>0</v>
      </c>
      <c r="AA178" s="48">
        <v>0</v>
      </c>
      <c r="AB178" s="49">
        <v>0</v>
      </c>
      <c r="AC178" s="48">
        <v>0</v>
      </c>
      <c r="AD178" s="49">
        <v>0</v>
      </c>
    </row>
    <row r="179" spans="2:30" ht="43.5" customHeight="1" x14ac:dyDescent="0.2">
      <c r="B179" s="631"/>
      <c r="C179" s="109" t="s">
        <v>362</v>
      </c>
      <c r="D179" s="122" t="s">
        <v>153</v>
      </c>
      <c r="E179" s="50">
        <v>1355005</v>
      </c>
      <c r="F179" s="51">
        <v>486</v>
      </c>
      <c r="G179" s="50">
        <v>1137259</v>
      </c>
      <c r="H179" s="51">
        <v>204</v>
      </c>
      <c r="I179" s="196">
        <v>925338</v>
      </c>
      <c r="J179" s="51">
        <v>79</v>
      </c>
      <c r="K179" s="50">
        <v>134812</v>
      </c>
      <c r="L179" s="51">
        <v>6</v>
      </c>
      <c r="M179" s="50">
        <v>0</v>
      </c>
      <c r="N179" s="51">
        <v>0</v>
      </c>
      <c r="O179" s="50">
        <v>0</v>
      </c>
      <c r="P179" s="51">
        <v>0</v>
      </c>
      <c r="Q179" s="50">
        <v>0</v>
      </c>
      <c r="R179" s="51">
        <v>0</v>
      </c>
      <c r="S179" s="50">
        <v>0</v>
      </c>
      <c r="T179" s="51">
        <v>0</v>
      </c>
      <c r="U179" s="50">
        <v>0</v>
      </c>
      <c r="V179" s="51">
        <v>0</v>
      </c>
      <c r="W179" s="50">
        <v>0</v>
      </c>
      <c r="X179" s="51">
        <v>0</v>
      </c>
      <c r="Y179" s="50">
        <v>0</v>
      </c>
      <c r="Z179" s="51">
        <v>0</v>
      </c>
      <c r="AA179" s="50">
        <v>0</v>
      </c>
      <c r="AB179" s="51">
        <v>0</v>
      </c>
      <c r="AC179" s="50">
        <v>0</v>
      </c>
      <c r="AD179" s="51">
        <v>0</v>
      </c>
    </row>
    <row r="180" spans="2:30" ht="42" customHeight="1" x14ac:dyDescent="0.2">
      <c r="B180" s="631"/>
      <c r="C180" s="109" t="s">
        <v>363</v>
      </c>
      <c r="D180" s="122" t="s">
        <v>154</v>
      </c>
      <c r="E180" s="50">
        <v>69642</v>
      </c>
      <c r="F180" s="51">
        <v>16</v>
      </c>
      <c r="G180" s="50">
        <v>41600</v>
      </c>
      <c r="H180" s="51">
        <v>5</v>
      </c>
      <c r="I180" s="196">
        <v>53210</v>
      </c>
      <c r="J180" s="51">
        <v>3</v>
      </c>
      <c r="K180" s="50">
        <v>28035</v>
      </c>
      <c r="L180" s="51">
        <v>1</v>
      </c>
      <c r="M180" s="50">
        <v>0</v>
      </c>
      <c r="N180" s="51">
        <v>0</v>
      </c>
      <c r="O180" s="50">
        <v>0</v>
      </c>
      <c r="P180" s="51">
        <v>0</v>
      </c>
      <c r="Q180" s="50">
        <v>0</v>
      </c>
      <c r="R180" s="51">
        <v>0</v>
      </c>
      <c r="S180" s="50">
        <v>0</v>
      </c>
      <c r="T180" s="51">
        <v>0</v>
      </c>
      <c r="U180" s="50">
        <v>0</v>
      </c>
      <c r="V180" s="51">
        <v>0</v>
      </c>
      <c r="W180" s="50">
        <v>0</v>
      </c>
      <c r="X180" s="51">
        <v>0</v>
      </c>
      <c r="Y180" s="50">
        <v>0</v>
      </c>
      <c r="Z180" s="51">
        <v>0</v>
      </c>
      <c r="AA180" s="50">
        <v>0</v>
      </c>
      <c r="AB180" s="51">
        <v>0</v>
      </c>
      <c r="AC180" s="50">
        <v>0</v>
      </c>
      <c r="AD180" s="51">
        <v>0</v>
      </c>
    </row>
    <row r="181" spans="2:30" ht="33" customHeight="1" x14ac:dyDescent="0.2">
      <c r="B181" s="631"/>
      <c r="C181" s="109" t="s">
        <v>364</v>
      </c>
      <c r="D181" s="122" t="s">
        <v>155</v>
      </c>
      <c r="E181" s="50">
        <v>104382</v>
      </c>
      <c r="F181" s="51">
        <v>35</v>
      </c>
      <c r="G181" s="50">
        <v>11714</v>
      </c>
      <c r="H181" s="51">
        <v>2</v>
      </c>
      <c r="I181" s="196">
        <v>12856</v>
      </c>
      <c r="J181" s="51">
        <v>1</v>
      </c>
      <c r="K181" s="50">
        <v>0</v>
      </c>
      <c r="L181" s="51">
        <v>0</v>
      </c>
      <c r="M181" s="50">
        <v>0</v>
      </c>
      <c r="N181" s="51">
        <v>0</v>
      </c>
      <c r="O181" s="50">
        <v>0</v>
      </c>
      <c r="P181" s="51">
        <v>0</v>
      </c>
      <c r="Q181" s="50">
        <v>0</v>
      </c>
      <c r="R181" s="51">
        <v>0</v>
      </c>
      <c r="S181" s="50">
        <v>0</v>
      </c>
      <c r="T181" s="51">
        <v>0</v>
      </c>
      <c r="U181" s="50">
        <v>0</v>
      </c>
      <c r="V181" s="51">
        <v>0</v>
      </c>
      <c r="W181" s="50">
        <v>0</v>
      </c>
      <c r="X181" s="51">
        <v>0</v>
      </c>
      <c r="Y181" s="50">
        <v>0</v>
      </c>
      <c r="Z181" s="51">
        <v>0</v>
      </c>
      <c r="AA181" s="50">
        <v>0</v>
      </c>
      <c r="AB181" s="51">
        <v>0</v>
      </c>
      <c r="AC181" s="50">
        <v>0</v>
      </c>
      <c r="AD181" s="51">
        <v>0</v>
      </c>
    </row>
    <row r="182" spans="2:30" ht="37.5" customHeight="1" x14ac:dyDescent="0.2">
      <c r="B182" s="631"/>
      <c r="C182" s="109" t="s">
        <v>365</v>
      </c>
      <c r="D182" s="122" t="s">
        <v>156</v>
      </c>
      <c r="E182" s="50">
        <v>0</v>
      </c>
      <c r="F182" s="51">
        <v>0</v>
      </c>
      <c r="G182" s="50">
        <v>0</v>
      </c>
      <c r="H182" s="51">
        <v>0</v>
      </c>
      <c r="I182" s="196">
        <v>0</v>
      </c>
      <c r="J182" s="51">
        <v>0</v>
      </c>
      <c r="K182" s="50">
        <v>0</v>
      </c>
      <c r="L182" s="51">
        <v>0</v>
      </c>
      <c r="M182" s="50">
        <v>0</v>
      </c>
      <c r="N182" s="51">
        <v>0</v>
      </c>
      <c r="O182" s="50">
        <v>0</v>
      </c>
      <c r="P182" s="51">
        <v>0</v>
      </c>
      <c r="Q182" s="50">
        <v>0</v>
      </c>
      <c r="R182" s="51">
        <v>0</v>
      </c>
      <c r="S182" s="50">
        <v>0</v>
      </c>
      <c r="T182" s="51">
        <v>0</v>
      </c>
      <c r="U182" s="50">
        <v>0</v>
      </c>
      <c r="V182" s="51">
        <v>0</v>
      </c>
      <c r="W182" s="50">
        <v>0</v>
      </c>
      <c r="X182" s="51">
        <v>0</v>
      </c>
      <c r="Y182" s="50">
        <v>0</v>
      </c>
      <c r="Z182" s="51">
        <v>0</v>
      </c>
      <c r="AA182" s="50">
        <v>0</v>
      </c>
      <c r="AB182" s="51">
        <v>0</v>
      </c>
      <c r="AC182" s="50">
        <v>0</v>
      </c>
      <c r="AD182" s="51">
        <v>0</v>
      </c>
    </row>
    <row r="183" spans="2:30" ht="37.5" customHeight="1" x14ac:dyDescent="0.2">
      <c r="B183" s="631"/>
      <c r="C183" s="109" t="s">
        <v>366</v>
      </c>
      <c r="D183" s="122" t="s">
        <v>157</v>
      </c>
      <c r="E183" s="52">
        <v>23825</v>
      </c>
      <c r="F183" s="53">
        <v>6</v>
      </c>
      <c r="G183" s="52">
        <v>13492</v>
      </c>
      <c r="H183" s="53">
        <v>2</v>
      </c>
      <c r="I183" s="197">
        <v>11145</v>
      </c>
      <c r="J183" s="53">
        <v>1</v>
      </c>
      <c r="K183" s="52">
        <v>0</v>
      </c>
      <c r="L183" s="53">
        <v>0</v>
      </c>
      <c r="M183" s="52">
        <v>0</v>
      </c>
      <c r="N183" s="53">
        <v>0</v>
      </c>
      <c r="O183" s="52">
        <v>0</v>
      </c>
      <c r="P183" s="53">
        <v>0</v>
      </c>
      <c r="Q183" s="52">
        <v>0</v>
      </c>
      <c r="R183" s="53">
        <v>0</v>
      </c>
      <c r="S183" s="52">
        <v>0</v>
      </c>
      <c r="T183" s="53">
        <v>0</v>
      </c>
      <c r="U183" s="52">
        <v>0</v>
      </c>
      <c r="V183" s="53">
        <v>0</v>
      </c>
      <c r="W183" s="52">
        <v>0</v>
      </c>
      <c r="X183" s="53">
        <v>0</v>
      </c>
      <c r="Y183" s="52">
        <v>0</v>
      </c>
      <c r="Z183" s="53">
        <v>0</v>
      </c>
      <c r="AA183" s="52">
        <v>0</v>
      </c>
      <c r="AB183" s="53">
        <v>0</v>
      </c>
      <c r="AC183" s="52">
        <v>0</v>
      </c>
      <c r="AD183" s="53">
        <v>0</v>
      </c>
    </row>
    <row r="184" spans="2:30" ht="40.5" customHeight="1" thickBot="1" x14ac:dyDescent="0.25">
      <c r="B184" s="632"/>
      <c r="C184" s="110" t="s">
        <v>367</v>
      </c>
      <c r="D184" s="123" t="s">
        <v>99</v>
      </c>
      <c r="E184" s="54">
        <v>92607</v>
      </c>
      <c r="F184" s="55">
        <v>34</v>
      </c>
      <c r="G184" s="54">
        <v>52340</v>
      </c>
      <c r="H184" s="55">
        <v>9</v>
      </c>
      <c r="I184" s="198">
        <v>32482</v>
      </c>
      <c r="J184" s="55">
        <v>3</v>
      </c>
      <c r="K184" s="54">
        <v>0</v>
      </c>
      <c r="L184" s="55">
        <v>0</v>
      </c>
      <c r="M184" s="54">
        <v>0</v>
      </c>
      <c r="N184" s="55">
        <v>0</v>
      </c>
      <c r="O184" s="54">
        <v>0</v>
      </c>
      <c r="P184" s="55">
        <v>0</v>
      </c>
      <c r="Q184" s="54">
        <v>0</v>
      </c>
      <c r="R184" s="55">
        <v>0</v>
      </c>
      <c r="S184" s="54">
        <v>0</v>
      </c>
      <c r="T184" s="55">
        <v>0</v>
      </c>
      <c r="U184" s="54">
        <v>0</v>
      </c>
      <c r="V184" s="55">
        <v>0</v>
      </c>
      <c r="W184" s="54">
        <v>0</v>
      </c>
      <c r="X184" s="55">
        <v>0</v>
      </c>
      <c r="Y184" s="54">
        <v>0</v>
      </c>
      <c r="Z184" s="55">
        <v>0</v>
      </c>
      <c r="AA184" s="54">
        <v>0</v>
      </c>
      <c r="AB184" s="55">
        <v>0</v>
      </c>
      <c r="AC184" s="54">
        <v>0</v>
      </c>
      <c r="AD184" s="55">
        <v>0</v>
      </c>
    </row>
    <row r="185" spans="2:30" ht="37.5" customHeight="1" x14ac:dyDescent="0.2">
      <c r="B185" s="630" t="s">
        <v>370</v>
      </c>
      <c r="C185" s="111" t="s">
        <v>368</v>
      </c>
      <c r="D185" s="63" t="s">
        <v>151</v>
      </c>
      <c r="E185" s="46">
        <v>83764091</v>
      </c>
      <c r="F185" s="47">
        <v>19541</v>
      </c>
      <c r="G185" s="46">
        <v>134671401</v>
      </c>
      <c r="H185" s="47">
        <v>22318</v>
      </c>
      <c r="I185" s="194">
        <v>267391401</v>
      </c>
      <c r="J185" s="47">
        <v>17108</v>
      </c>
      <c r="K185" s="46">
        <v>301228719</v>
      </c>
      <c r="L185" s="47">
        <v>8044</v>
      </c>
      <c r="M185" s="46">
        <v>231872192</v>
      </c>
      <c r="N185" s="47">
        <v>3144</v>
      </c>
      <c r="O185" s="46">
        <v>278872192</v>
      </c>
      <c r="P185" s="47">
        <v>1677</v>
      </c>
      <c r="Q185" s="46">
        <v>254892553</v>
      </c>
      <c r="R185" s="47">
        <v>737</v>
      </c>
      <c r="S185" s="46">
        <v>304825957</v>
      </c>
      <c r="T185" s="47">
        <v>421</v>
      </c>
      <c r="U185" s="46">
        <v>107285579</v>
      </c>
      <c r="V185" s="47">
        <v>91</v>
      </c>
      <c r="W185" s="46">
        <v>82445110</v>
      </c>
      <c r="X185" s="47">
        <v>12</v>
      </c>
      <c r="Y185" s="46">
        <v>13244511</v>
      </c>
      <c r="Z185" s="47">
        <v>1</v>
      </c>
      <c r="AA185" s="46">
        <v>0</v>
      </c>
      <c r="AB185" s="47">
        <v>0</v>
      </c>
      <c r="AC185" s="46">
        <v>0</v>
      </c>
      <c r="AD185" s="47">
        <v>0</v>
      </c>
    </row>
    <row r="186" spans="2:30" ht="37.5" customHeight="1" x14ac:dyDescent="0.2">
      <c r="B186" s="631"/>
      <c r="C186" s="111" t="s">
        <v>369</v>
      </c>
      <c r="D186" s="63" t="s">
        <v>152</v>
      </c>
      <c r="E186" s="48">
        <v>9413579</v>
      </c>
      <c r="F186" s="49">
        <v>3238</v>
      </c>
      <c r="G186" s="48">
        <v>16893574</v>
      </c>
      <c r="H186" s="49">
        <v>2811</v>
      </c>
      <c r="I186" s="195">
        <v>11356433</v>
      </c>
      <c r="J186" s="49">
        <v>883</v>
      </c>
      <c r="K186" s="48">
        <v>2412609</v>
      </c>
      <c r="L186" s="49">
        <v>103</v>
      </c>
      <c r="M186" s="48">
        <v>1584074</v>
      </c>
      <c r="N186" s="49">
        <v>26</v>
      </c>
      <c r="O186" s="48">
        <v>501873</v>
      </c>
      <c r="P186" s="49">
        <v>4</v>
      </c>
      <c r="Q186" s="48">
        <v>281006</v>
      </c>
      <c r="R186" s="49">
        <v>1</v>
      </c>
      <c r="S186" s="48">
        <v>0</v>
      </c>
      <c r="T186" s="49">
        <v>0</v>
      </c>
      <c r="U186" s="48">
        <v>0</v>
      </c>
      <c r="V186" s="49">
        <v>0</v>
      </c>
      <c r="W186" s="48">
        <v>0</v>
      </c>
      <c r="X186" s="49">
        <v>0</v>
      </c>
      <c r="Y186" s="48">
        <v>0</v>
      </c>
      <c r="Z186" s="49">
        <v>0</v>
      </c>
      <c r="AA186" s="48">
        <v>0</v>
      </c>
      <c r="AB186" s="49">
        <v>0</v>
      </c>
      <c r="AC186" s="48">
        <v>0</v>
      </c>
      <c r="AD186" s="49">
        <v>0</v>
      </c>
    </row>
    <row r="187" spans="2:30" ht="38.25" customHeight="1" x14ac:dyDescent="0.2">
      <c r="B187" s="631"/>
      <c r="C187" s="111" t="s">
        <v>372</v>
      </c>
      <c r="D187" s="63" t="s">
        <v>153</v>
      </c>
      <c r="E187" s="50">
        <v>0</v>
      </c>
      <c r="F187" s="51">
        <v>0</v>
      </c>
      <c r="G187" s="50">
        <v>0</v>
      </c>
      <c r="H187" s="51">
        <v>0</v>
      </c>
      <c r="I187" s="196">
        <v>0</v>
      </c>
      <c r="J187" s="51">
        <v>0</v>
      </c>
      <c r="K187" s="50">
        <v>0</v>
      </c>
      <c r="L187" s="51">
        <v>0</v>
      </c>
      <c r="M187" s="50">
        <v>0</v>
      </c>
      <c r="N187" s="51">
        <v>0</v>
      </c>
      <c r="O187" s="50">
        <v>0</v>
      </c>
      <c r="P187" s="51">
        <v>0</v>
      </c>
      <c r="Q187" s="50">
        <v>0</v>
      </c>
      <c r="R187" s="51">
        <v>0</v>
      </c>
      <c r="S187" s="50">
        <v>0</v>
      </c>
      <c r="T187" s="51">
        <v>0</v>
      </c>
      <c r="U187" s="50">
        <v>0</v>
      </c>
      <c r="V187" s="51">
        <v>0</v>
      </c>
      <c r="W187" s="50">
        <v>0</v>
      </c>
      <c r="X187" s="51">
        <v>0</v>
      </c>
      <c r="Y187" s="50">
        <v>0</v>
      </c>
      <c r="Z187" s="51">
        <v>0</v>
      </c>
      <c r="AA187" s="50">
        <v>0</v>
      </c>
      <c r="AB187" s="51">
        <v>0</v>
      </c>
      <c r="AC187" s="50">
        <v>0</v>
      </c>
      <c r="AD187" s="51">
        <v>0</v>
      </c>
    </row>
    <row r="188" spans="2:30" ht="36" customHeight="1" x14ac:dyDescent="0.2">
      <c r="B188" s="631"/>
      <c r="C188" s="111" t="s">
        <v>373</v>
      </c>
      <c r="D188" s="63" t="s">
        <v>154</v>
      </c>
      <c r="E188" s="50">
        <v>367798</v>
      </c>
      <c r="F188" s="51">
        <v>101</v>
      </c>
      <c r="G188" s="50">
        <v>196834</v>
      </c>
      <c r="H188" s="51">
        <v>27</v>
      </c>
      <c r="I188" s="196">
        <v>203410</v>
      </c>
      <c r="J188" s="51">
        <v>14</v>
      </c>
      <c r="K188" s="50">
        <v>158775</v>
      </c>
      <c r="L188" s="51">
        <v>6</v>
      </c>
      <c r="M188" s="50">
        <v>68013</v>
      </c>
      <c r="N188" s="51">
        <v>1</v>
      </c>
      <c r="O188" s="50">
        <v>0</v>
      </c>
      <c r="P188" s="51">
        <v>0</v>
      </c>
      <c r="Q188" s="50">
        <v>0</v>
      </c>
      <c r="R188" s="51">
        <v>0</v>
      </c>
      <c r="S188" s="50">
        <v>0</v>
      </c>
      <c r="T188" s="51">
        <v>0</v>
      </c>
      <c r="U188" s="50">
        <v>0</v>
      </c>
      <c r="V188" s="51">
        <v>0</v>
      </c>
      <c r="W188" s="50">
        <v>0</v>
      </c>
      <c r="X188" s="51">
        <v>0</v>
      </c>
      <c r="Y188" s="50">
        <v>0</v>
      </c>
      <c r="Z188" s="51">
        <v>0</v>
      </c>
      <c r="AA188" s="50">
        <v>0</v>
      </c>
      <c r="AB188" s="51">
        <v>0</v>
      </c>
      <c r="AC188" s="50">
        <v>0</v>
      </c>
      <c r="AD188" s="51">
        <v>0</v>
      </c>
    </row>
    <row r="189" spans="2:30" ht="32.25" customHeight="1" x14ac:dyDescent="0.2">
      <c r="B189" s="631"/>
      <c r="C189" s="111" t="s">
        <v>374</v>
      </c>
      <c r="D189" s="63" t="s">
        <v>155</v>
      </c>
      <c r="E189" s="50">
        <v>0</v>
      </c>
      <c r="F189" s="51">
        <v>0</v>
      </c>
      <c r="G189" s="50">
        <v>0</v>
      </c>
      <c r="H189" s="51">
        <v>0</v>
      </c>
      <c r="I189" s="196">
        <v>0</v>
      </c>
      <c r="J189" s="51">
        <v>0</v>
      </c>
      <c r="K189" s="50">
        <v>0</v>
      </c>
      <c r="L189" s="51">
        <v>0</v>
      </c>
      <c r="M189" s="50">
        <v>0</v>
      </c>
      <c r="N189" s="51">
        <v>0</v>
      </c>
      <c r="O189" s="50">
        <v>0</v>
      </c>
      <c r="P189" s="51">
        <v>0</v>
      </c>
      <c r="Q189" s="50">
        <v>0</v>
      </c>
      <c r="R189" s="51">
        <v>0</v>
      </c>
      <c r="S189" s="50">
        <v>0</v>
      </c>
      <c r="T189" s="51">
        <v>0</v>
      </c>
      <c r="U189" s="50">
        <v>0</v>
      </c>
      <c r="V189" s="51">
        <v>0</v>
      </c>
      <c r="W189" s="50">
        <v>0</v>
      </c>
      <c r="X189" s="51">
        <v>0</v>
      </c>
      <c r="Y189" s="50">
        <v>0</v>
      </c>
      <c r="Z189" s="51">
        <v>0</v>
      </c>
      <c r="AA189" s="50">
        <v>0</v>
      </c>
      <c r="AB189" s="51">
        <v>0</v>
      </c>
      <c r="AC189" s="50">
        <v>0</v>
      </c>
      <c r="AD189" s="51">
        <v>0</v>
      </c>
    </row>
    <row r="190" spans="2:30" ht="33.75" customHeight="1" x14ac:dyDescent="0.2">
      <c r="B190" s="631"/>
      <c r="C190" s="111" t="s">
        <v>375</v>
      </c>
      <c r="D190" s="63" t="s">
        <v>156</v>
      </c>
      <c r="E190" s="50">
        <v>0</v>
      </c>
      <c r="F190" s="51">
        <v>0</v>
      </c>
      <c r="G190" s="50">
        <v>0</v>
      </c>
      <c r="H190" s="51">
        <v>0</v>
      </c>
      <c r="I190" s="196">
        <v>0</v>
      </c>
      <c r="J190" s="51">
        <v>0</v>
      </c>
      <c r="K190" s="50">
        <v>0</v>
      </c>
      <c r="L190" s="51">
        <v>0</v>
      </c>
      <c r="M190" s="50">
        <v>0</v>
      </c>
      <c r="N190" s="51">
        <v>0</v>
      </c>
      <c r="O190" s="50">
        <v>0</v>
      </c>
      <c r="P190" s="51">
        <v>0</v>
      </c>
      <c r="Q190" s="50">
        <v>0</v>
      </c>
      <c r="R190" s="51">
        <v>0</v>
      </c>
      <c r="S190" s="50">
        <v>0</v>
      </c>
      <c r="T190" s="51">
        <v>0</v>
      </c>
      <c r="U190" s="50">
        <v>0</v>
      </c>
      <c r="V190" s="51">
        <v>0</v>
      </c>
      <c r="W190" s="50">
        <v>0</v>
      </c>
      <c r="X190" s="51">
        <v>0</v>
      </c>
      <c r="Y190" s="50">
        <v>0</v>
      </c>
      <c r="Z190" s="51">
        <v>0</v>
      </c>
      <c r="AA190" s="50">
        <v>0</v>
      </c>
      <c r="AB190" s="51">
        <v>0</v>
      </c>
      <c r="AC190" s="50">
        <v>0</v>
      </c>
      <c r="AD190" s="51">
        <v>0</v>
      </c>
    </row>
    <row r="191" spans="2:30" ht="37.5" customHeight="1" x14ac:dyDescent="0.2">
      <c r="B191" s="631"/>
      <c r="C191" s="111" t="s">
        <v>376</v>
      </c>
      <c r="D191" s="64" t="s">
        <v>157</v>
      </c>
      <c r="E191" s="52">
        <v>0</v>
      </c>
      <c r="F191" s="53">
        <v>0</v>
      </c>
      <c r="G191" s="52">
        <v>0</v>
      </c>
      <c r="H191" s="53">
        <v>0</v>
      </c>
      <c r="I191" s="197">
        <v>0</v>
      </c>
      <c r="J191" s="53">
        <v>0</v>
      </c>
      <c r="K191" s="52">
        <v>0</v>
      </c>
      <c r="L191" s="53">
        <v>0</v>
      </c>
      <c r="M191" s="52">
        <v>0</v>
      </c>
      <c r="N191" s="53">
        <v>0</v>
      </c>
      <c r="O191" s="52">
        <v>0</v>
      </c>
      <c r="P191" s="53">
        <v>0</v>
      </c>
      <c r="Q191" s="52">
        <v>0</v>
      </c>
      <c r="R191" s="53">
        <v>0</v>
      </c>
      <c r="S191" s="52">
        <v>0</v>
      </c>
      <c r="T191" s="53">
        <v>0</v>
      </c>
      <c r="U191" s="52">
        <v>0</v>
      </c>
      <c r="V191" s="53">
        <v>0</v>
      </c>
      <c r="W191" s="52">
        <v>0</v>
      </c>
      <c r="X191" s="53">
        <v>0</v>
      </c>
      <c r="Y191" s="52">
        <v>0</v>
      </c>
      <c r="Z191" s="53">
        <v>0</v>
      </c>
      <c r="AA191" s="52">
        <v>0</v>
      </c>
      <c r="AB191" s="53">
        <v>0</v>
      </c>
      <c r="AC191" s="52">
        <v>0</v>
      </c>
      <c r="AD191" s="53">
        <v>0</v>
      </c>
    </row>
    <row r="192" spans="2:30" ht="36" customHeight="1" thickBot="1" x14ac:dyDescent="0.25">
      <c r="B192" s="632"/>
      <c r="C192" s="112" t="s">
        <v>377</v>
      </c>
      <c r="D192" s="106" t="s">
        <v>99</v>
      </c>
      <c r="E192" s="54">
        <v>0</v>
      </c>
      <c r="F192" s="55">
        <v>0</v>
      </c>
      <c r="G192" s="54">
        <v>0</v>
      </c>
      <c r="H192" s="55">
        <v>0</v>
      </c>
      <c r="I192" s="198">
        <v>0</v>
      </c>
      <c r="J192" s="55">
        <v>0</v>
      </c>
      <c r="K192" s="54">
        <v>0</v>
      </c>
      <c r="L192" s="55">
        <v>0</v>
      </c>
      <c r="M192" s="54">
        <v>0</v>
      </c>
      <c r="N192" s="55">
        <v>0</v>
      </c>
      <c r="O192" s="54">
        <v>0</v>
      </c>
      <c r="P192" s="55">
        <v>0</v>
      </c>
      <c r="Q192" s="54">
        <v>0</v>
      </c>
      <c r="R192" s="55">
        <v>0</v>
      </c>
      <c r="S192" s="54">
        <v>0</v>
      </c>
      <c r="T192" s="55">
        <v>0</v>
      </c>
      <c r="U192" s="54">
        <v>0</v>
      </c>
      <c r="V192" s="55">
        <v>0</v>
      </c>
      <c r="W192" s="54">
        <v>0</v>
      </c>
      <c r="X192" s="55">
        <v>0</v>
      </c>
      <c r="Y192" s="54">
        <v>0</v>
      </c>
      <c r="Z192" s="55">
        <v>0</v>
      </c>
      <c r="AA192" s="54">
        <v>0</v>
      </c>
      <c r="AB192" s="55">
        <v>0</v>
      </c>
      <c r="AC192" s="54">
        <v>0</v>
      </c>
      <c r="AD192" s="55">
        <v>0</v>
      </c>
    </row>
    <row r="193" spans="2:30" ht="36" customHeight="1" x14ac:dyDescent="0.2">
      <c r="B193" s="630" t="s">
        <v>371</v>
      </c>
      <c r="C193" s="108" t="s">
        <v>378</v>
      </c>
      <c r="D193" s="124" t="s">
        <v>151</v>
      </c>
      <c r="E193" s="46">
        <v>47234091</v>
      </c>
      <c r="F193" s="47">
        <v>12324</v>
      </c>
      <c r="G193" s="46">
        <v>263498177</v>
      </c>
      <c r="H193" s="47">
        <v>34785</v>
      </c>
      <c r="I193" s="194">
        <v>632400354</v>
      </c>
      <c r="J193" s="47">
        <v>38092</v>
      </c>
      <c r="K193" s="46">
        <v>801576707</v>
      </c>
      <c r="L193" s="47">
        <v>21703</v>
      </c>
      <c r="M193" s="46">
        <v>912008073</v>
      </c>
      <c r="N193" s="47">
        <v>12421</v>
      </c>
      <c r="O193" s="46">
        <v>804991372</v>
      </c>
      <c r="P193" s="47">
        <v>4653</v>
      </c>
      <c r="Q193" s="46">
        <v>612840372</v>
      </c>
      <c r="R193" s="47">
        <v>1647</v>
      </c>
      <c r="S193" s="46">
        <v>460398120</v>
      </c>
      <c r="T193" s="47">
        <v>597</v>
      </c>
      <c r="U193" s="46">
        <v>248538456</v>
      </c>
      <c r="V193" s="47">
        <v>193</v>
      </c>
      <c r="W193" s="46">
        <v>617053847</v>
      </c>
      <c r="X193" s="47">
        <v>103</v>
      </c>
      <c r="Y193" s="46">
        <v>1578355647</v>
      </c>
      <c r="Z193" s="47">
        <v>31</v>
      </c>
      <c r="AA193" s="46">
        <v>2423568109</v>
      </c>
      <c r="AB193" s="47">
        <v>6</v>
      </c>
      <c r="AC193" s="46">
        <v>1355600140</v>
      </c>
      <c r="AD193" s="47">
        <v>1</v>
      </c>
    </row>
    <row r="194" spans="2:30" ht="34.5" customHeight="1" x14ac:dyDescent="0.2">
      <c r="B194" s="631"/>
      <c r="C194" s="109" t="s">
        <v>379</v>
      </c>
      <c r="D194" s="65" t="s">
        <v>152</v>
      </c>
      <c r="E194" s="48">
        <v>8471794</v>
      </c>
      <c r="F194" s="49">
        <v>3103</v>
      </c>
      <c r="G194" s="48">
        <v>17955541</v>
      </c>
      <c r="H194" s="49">
        <v>2905</v>
      </c>
      <c r="I194" s="195">
        <v>11946732</v>
      </c>
      <c r="J194" s="49">
        <v>865</v>
      </c>
      <c r="K194" s="48">
        <v>2180954</v>
      </c>
      <c r="L194" s="49">
        <v>89</v>
      </c>
      <c r="M194" s="48">
        <v>1416747</v>
      </c>
      <c r="N194" s="49">
        <v>24</v>
      </c>
      <c r="O194" s="48">
        <v>312974</v>
      </c>
      <c r="P194" s="49">
        <v>3</v>
      </c>
      <c r="Q194" s="48">
        <v>267334</v>
      </c>
      <c r="R194" s="49">
        <v>1</v>
      </c>
      <c r="S194" s="48">
        <v>0</v>
      </c>
      <c r="T194" s="49">
        <v>0</v>
      </c>
      <c r="U194" s="48">
        <v>0</v>
      </c>
      <c r="V194" s="49">
        <v>0</v>
      </c>
      <c r="W194" s="48">
        <v>0</v>
      </c>
      <c r="X194" s="49">
        <v>0</v>
      </c>
      <c r="Y194" s="48">
        <v>0</v>
      </c>
      <c r="Z194" s="49">
        <v>0</v>
      </c>
      <c r="AA194" s="48">
        <v>0</v>
      </c>
      <c r="AB194" s="49">
        <v>0</v>
      </c>
      <c r="AC194" s="48">
        <v>0</v>
      </c>
      <c r="AD194" s="49">
        <v>0</v>
      </c>
    </row>
    <row r="195" spans="2:30" ht="29.25" customHeight="1" x14ac:dyDescent="0.2">
      <c r="B195" s="631"/>
      <c r="C195" s="109" t="s">
        <v>380</v>
      </c>
      <c r="D195" s="65" t="s">
        <v>153</v>
      </c>
      <c r="E195" s="50">
        <v>93495</v>
      </c>
      <c r="F195" s="51">
        <v>26</v>
      </c>
      <c r="G195" s="50">
        <v>328465</v>
      </c>
      <c r="H195" s="51">
        <v>43</v>
      </c>
      <c r="I195" s="196">
        <v>1180437</v>
      </c>
      <c r="J195" s="51">
        <v>79</v>
      </c>
      <c r="K195" s="50">
        <v>3285010</v>
      </c>
      <c r="L195" s="51">
        <v>89</v>
      </c>
      <c r="M195" s="50">
        <v>13684700</v>
      </c>
      <c r="N195" s="51">
        <v>191</v>
      </c>
      <c r="O195" s="50">
        <v>38442687</v>
      </c>
      <c r="P195" s="51">
        <v>209</v>
      </c>
      <c r="Q195" s="50">
        <v>178264045</v>
      </c>
      <c r="R195" s="51">
        <v>493</v>
      </c>
      <c r="S195" s="50">
        <v>1230564045</v>
      </c>
      <c r="T195" s="51">
        <v>1602</v>
      </c>
      <c r="U195" s="50">
        <v>2240608511</v>
      </c>
      <c r="V195" s="51">
        <v>1845</v>
      </c>
      <c r="W195" s="50">
        <v>5638021618</v>
      </c>
      <c r="X195" s="51">
        <v>1394</v>
      </c>
      <c r="Y195" s="50">
        <v>9841210183</v>
      </c>
      <c r="Z195" s="51">
        <v>265</v>
      </c>
      <c r="AA195" s="50">
        <v>3801033870</v>
      </c>
      <c r="AB195" s="51">
        <v>11</v>
      </c>
      <c r="AC195" s="50">
        <v>2610358706</v>
      </c>
      <c r="AD195" s="51">
        <v>2</v>
      </c>
    </row>
    <row r="196" spans="2:30" ht="42.75" customHeight="1" x14ac:dyDescent="0.2">
      <c r="B196" s="631"/>
      <c r="C196" s="109" t="s">
        <v>381</v>
      </c>
      <c r="D196" s="65" t="s">
        <v>154</v>
      </c>
      <c r="E196" s="50">
        <v>408951</v>
      </c>
      <c r="F196" s="51">
        <v>107</v>
      </c>
      <c r="G196" s="50">
        <v>190542</v>
      </c>
      <c r="H196" s="51">
        <v>25</v>
      </c>
      <c r="I196" s="196">
        <v>275073</v>
      </c>
      <c r="J196" s="51">
        <v>18</v>
      </c>
      <c r="K196" s="50">
        <v>425161</v>
      </c>
      <c r="L196" s="51">
        <v>12</v>
      </c>
      <c r="M196" s="50">
        <v>501763</v>
      </c>
      <c r="N196" s="51">
        <v>8</v>
      </c>
      <c r="O196" s="50">
        <v>238755</v>
      </c>
      <c r="P196" s="51">
        <v>2</v>
      </c>
      <c r="Q196" s="50">
        <v>258539</v>
      </c>
      <c r="R196" s="51">
        <v>1</v>
      </c>
      <c r="S196" s="50">
        <v>602188</v>
      </c>
      <c r="T196" s="51">
        <v>1</v>
      </c>
      <c r="U196" s="50">
        <v>1276992</v>
      </c>
      <c r="V196" s="51">
        <v>1</v>
      </c>
      <c r="W196" s="50">
        <v>2108481</v>
      </c>
      <c r="X196" s="51">
        <v>1</v>
      </c>
      <c r="Y196" s="50">
        <v>12811837</v>
      </c>
      <c r="Z196" s="51">
        <v>1</v>
      </c>
      <c r="AA196" s="50">
        <v>0</v>
      </c>
      <c r="AB196" s="51">
        <v>0</v>
      </c>
      <c r="AC196" s="50">
        <v>0</v>
      </c>
      <c r="AD196" s="51">
        <v>0</v>
      </c>
    </row>
    <row r="197" spans="2:30" ht="35.25" customHeight="1" x14ac:dyDescent="0.2">
      <c r="B197" s="631"/>
      <c r="C197" s="109" t="s">
        <v>382</v>
      </c>
      <c r="D197" s="65" t="s">
        <v>155</v>
      </c>
      <c r="E197" s="50">
        <v>7356</v>
      </c>
      <c r="F197" s="51">
        <v>2</v>
      </c>
      <c r="G197" s="50">
        <v>14283</v>
      </c>
      <c r="H197" s="51">
        <v>2</v>
      </c>
      <c r="I197" s="196">
        <v>62844</v>
      </c>
      <c r="J197" s="51">
        <v>4</v>
      </c>
      <c r="K197" s="50">
        <v>150651</v>
      </c>
      <c r="L197" s="51">
        <v>4</v>
      </c>
      <c r="M197" s="50">
        <v>481643</v>
      </c>
      <c r="N197" s="51">
        <v>7</v>
      </c>
      <c r="O197" s="50">
        <v>1995340</v>
      </c>
      <c r="P197" s="51">
        <v>10</v>
      </c>
      <c r="Q197" s="50">
        <v>6200409</v>
      </c>
      <c r="R197" s="51">
        <v>16</v>
      </c>
      <c r="S197" s="50">
        <v>18604214</v>
      </c>
      <c r="T197" s="51">
        <v>24</v>
      </c>
      <c r="U197" s="50">
        <v>45204392</v>
      </c>
      <c r="V197" s="51">
        <v>35</v>
      </c>
      <c r="W197" s="50">
        <v>365433712</v>
      </c>
      <c r="X197" s="51">
        <v>47</v>
      </c>
      <c r="Y197" s="50">
        <v>2750183743</v>
      </c>
      <c r="Z197" s="51">
        <v>43</v>
      </c>
      <c r="AA197" s="50">
        <v>3500858901</v>
      </c>
      <c r="AB197" s="51">
        <v>9</v>
      </c>
      <c r="AC197" s="50">
        <v>0</v>
      </c>
      <c r="AD197" s="51">
        <v>0</v>
      </c>
    </row>
    <row r="198" spans="2:30" ht="38.25" customHeight="1" x14ac:dyDescent="0.2">
      <c r="B198" s="631"/>
      <c r="C198" s="109" t="s">
        <v>383</v>
      </c>
      <c r="D198" s="65" t="s">
        <v>156</v>
      </c>
      <c r="E198" s="50">
        <v>0</v>
      </c>
      <c r="F198" s="51">
        <v>0</v>
      </c>
      <c r="G198" s="50">
        <v>0</v>
      </c>
      <c r="H198" s="51">
        <v>0</v>
      </c>
      <c r="I198" s="196">
        <v>0</v>
      </c>
      <c r="J198" s="51">
        <v>0</v>
      </c>
      <c r="K198" s="50">
        <v>0</v>
      </c>
      <c r="L198" s="51">
        <v>0</v>
      </c>
      <c r="M198" s="50">
        <v>0</v>
      </c>
      <c r="N198" s="51">
        <v>0</v>
      </c>
      <c r="O198" s="50">
        <v>0</v>
      </c>
      <c r="P198" s="51">
        <v>0</v>
      </c>
      <c r="Q198" s="50">
        <v>0</v>
      </c>
      <c r="R198" s="51">
        <v>0</v>
      </c>
      <c r="S198" s="50">
        <v>0</v>
      </c>
      <c r="T198" s="51">
        <v>0</v>
      </c>
      <c r="U198" s="50">
        <v>1183704</v>
      </c>
      <c r="V198" s="51">
        <v>1</v>
      </c>
      <c r="W198" s="50">
        <v>15847613</v>
      </c>
      <c r="X198" s="51">
        <v>2</v>
      </c>
      <c r="Y198" s="50">
        <v>98405813</v>
      </c>
      <c r="Z198" s="51">
        <v>2</v>
      </c>
      <c r="AA198" s="50">
        <v>0</v>
      </c>
      <c r="AB198" s="51">
        <v>0</v>
      </c>
      <c r="AC198" s="50">
        <v>0</v>
      </c>
      <c r="AD198" s="51">
        <v>0</v>
      </c>
    </row>
    <row r="199" spans="2:30" ht="42" customHeight="1" x14ac:dyDescent="0.2">
      <c r="B199" s="631"/>
      <c r="C199" s="109" t="s">
        <v>384</v>
      </c>
      <c r="D199" s="122" t="s">
        <v>157</v>
      </c>
      <c r="E199" s="52">
        <v>0</v>
      </c>
      <c r="F199" s="53">
        <v>0</v>
      </c>
      <c r="G199" s="52">
        <v>0</v>
      </c>
      <c r="H199" s="53">
        <v>0</v>
      </c>
      <c r="I199" s="197">
        <v>0</v>
      </c>
      <c r="J199" s="53">
        <v>0</v>
      </c>
      <c r="K199" s="52">
        <v>0</v>
      </c>
      <c r="L199" s="53">
        <v>0</v>
      </c>
      <c r="M199" s="52">
        <v>0</v>
      </c>
      <c r="N199" s="53">
        <v>0</v>
      </c>
      <c r="O199" s="52">
        <v>0</v>
      </c>
      <c r="P199" s="53">
        <v>0</v>
      </c>
      <c r="Q199" s="52">
        <v>0</v>
      </c>
      <c r="R199" s="53">
        <v>0</v>
      </c>
      <c r="S199" s="52">
        <v>0</v>
      </c>
      <c r="T199" s="53">
        <v>0</v>
      </c>
      <c r="U199" s="52">
        <v>1301922</v>
      </c>
      <c r="V199" s="53">
        <v>1</v>
      </c>
      <c r="W199" s="52">
        <v>9265838</v>
      </c>
      <c r="X199" s="53">
        <v>1</v>
      </c>
      <c r="Y199" s="52">
        <v>318521306</v>
      </c>
      <c r="Z199" s="53">
        <v>5</v>
      </c>
      <c r="AA199" s="52">
        <v>458600903</v>
      </c>
      <c r="AB199" s="53">
        <v>2</v>
      </c>
      <c r="AC199" s="52">
        <v>0</v>
      </c>
      <c r="AD199" s="53">
        <v>0</v>
      </c>
    </row>
    <row r="200" spans="2:30" ht="38.25" customHeight="1" x14ac:dyDescent="0.2">
      <c r="B200" s="631"/>
      <c r="C200" s="109" t="s">
        <v>385</v>
      </c>
      <c r="D200" s="107" t="s">
        <v>99</v>
      </c>
      <c r="E200" s="52">
        <v>0</v>
      </c>
      <c r="F200" s="53">
        <v>0</v>
      </c>
      <c r="G200" s="52">
        <v>0</v>
      </c>
      <c r="H200" s="53">
        <v>0</v>
      </c>
      <c r="I200" s="197">
        <v>0</v>
      </c>
      <c r="J200" s="53">
        <v>0</v>
      </c>
      <c r="K200" s="52">
        <v>0</v>
      </c>
      <c r="L200" s="53">
        <v>0</v>
      </c>
      <c r="M200" s="52">
        <v>0</v>
      </c>
      <c r="N200" s="53">
        <v>0</v>
      </c>
      <c r="O200" s="52">
        <v>0</v>
      </c>
      <c r="P200" s="53">
        <v>0</v>
      </c>
      <c r="Q200" s="52">
        <v>0</v>
      </c>
      <c r="R200" s="53">
        <v>0</v>
      </c>
      <c r="S200" s="52">
        <v>0</v>
      </c>
      <c r="T200" s="53">
        <v>0</v>
      </c>
      <c r="U200" s="52">
        <v>1455673</v>
      </c>
      <c r="V200" s="53">
        <v>1</v>
      </c>
      <c r="W200" s="52">
        <v>56842330</v>
      </c>
      <c r="X200" s="53">
        <v>7</v>
      </c>
      <c r="Y200" s="52">
        <v>1610230677</v>
      </c>
      <c r="Z200" s="53">
        <v>30</v>
      </c>
      <c r="AA200" s="52">
        <v>2520598001</v>
      </c>
      <c r="AB200" s="53">
        <v>8</v>
      </c>
      <c r="AC200" s="52">
        <v>0</v>
      </c>
      <c r="AD200" s="53">
        <v>0</v>
      </c>
    </row>
    <row r="201" spans="2:30" ht="36" customHeight="1" thickBot="1" x14ac:dyDescent="0.25">
      <c r="B201" s="632"/>
      <c r="C201" s="110" t="s">
        <v>386</v>
      </c>
      <c r="D201" s="123" t="s">
        <v>158</v>
      </c>
      <c r="E201" s="120">
        <v>0</v>
      </c>
      <c r="F201" s="56">
        <v>0</v>
      </c>
      <c r="G201" s="120">
        <v>0</v>
      </c>
      <c r="H201" s="56">
        <v>0</v>
      </c>
      <c r="I201" s="199">
        <v>0</v>
      </c>
      <c r="J201" s="56">
        <v>0</v>
      </c>
      <c r="K201" s="120">
        <v>0</v>
      </c>
      <c r="L201" s="56">
        <v>0</v>
      </c>
      <c r="M201" s="120">
        <v>0</v>
      </c>
      <c r="N201" s="56">
        <v>0</v>
      </c>
      <c r="O201" s="120">
        <v>0</v>
      </c>
      <c r="P201" s="56">
        <v>0</v>
      </c>
      <c r="Q201" s="120">
        <v>0</v>
      </c>
      <c r="R201" s="56">
        <v>0</v>
      </c>
      <c r="S201" s="120">
        <v>0</v>
      </c>
      <c r="T201" s="56">
        <v>0</v>
      </c>
      <c r="U201" s="120">
        <v>0</v>
      </c>
      <c r="V201" s="56">
        <v>0</v>
      </c>
      <c r="W201" s="120">
        <v>48004750</v>
      </c>
      <c r="X201" s="56">
        <v>6</v>
      </c>
      <c r="Y201" s="120">
        <v>870008901</v>
      </c>
      <c r="Z201" s="56">
        <v>19</v>
      </c>
      <c r="AA201" s="120">
        <v>126713445</v>
      </c>
      <c r="AB201" s="56">
        <v>1</v>
      </c>
      <c r="AC201" s="120">
        <v>0</v>
      </c>
      <c r="AD201" s="56">
        <v>0</v>
      </c>
    </row>
    <row r="202" spans="2:30" ht="27.75" customHeight="1" thickBot="1" x14ac:dyDescent="0.25"/>
    <row r="203" spans="2:30" ht="39" customHeight="1" thickBot="1" x14ac:dyDescent="0.25">
      <c r="B203" s="603" t="s">
        <v>387</v>
      </c>
      <c r="C203" s="604"/>
      <c r="D203" s="126" t="s">
        <v>159</v>
      </c>
      <c r="E203" s="57"/>
      <c r="F203" s="57"/>
      <c r="G203" s="57"/>
      <c r="H203" s="57"/>
      <c r="I203" s="57"/>
      <c r="J203" s="191"/>
      <c r="K203" s="57"/>
      <c r="L203" s="57"/>
      <c r="M203" s="57"/>
      <c r="N203" s="57"/>
      <c r="O203" s="57"/>
      <c r="P203" s="58"/>
    </row>
    <row r="204" spans="2:30" ht="39" customHeight="1" thickBot="1" x14ac:dyDescent="0.25">
      <c r="B204" s="605"/>
      <c r="C204" s="606"/>
      <c r="D204" s="126" t="s">
        <v>612</v>
      </c>
      <c r="E204" s="57"/>
      <c r="F204" s="57"/>
      <c r="G204" s="57"/>
      <c r="H204" s="57"/>
      <c r="I204" s="57"/>
      <c r="J204" s="191"/>
      <c r="K204" s="57"/>
      <c r="L204" s="57"/>
      <c r="M204" s="57"/>
      <c r="N204" s="57"/>
      <c r="O204" s="57"/>
      <c r="P204" s="58"/>
    </row>
    <row r="205" spans="2:30" ht="39" customHeight="1" thickBot="1" x14ac:dyDescent="0.25">
      <c r="B205" s="605"/>
      <c r="C205" s="606"/>
      <c r="D205" s="126" t="s">
        <v>673</v>
      </c>
      <c r="E205" s="127"/>
      <c r="F205" s="127"/>
      <c r="G205" s="127"/>
      <c r="H205" s="127"/>
      <c r="I205" s="127"/>
      <c r="J205" s="192"/>
      <c r="K205" s="127"/>
      <c r="L205" s="127"/>
      <c r="M205" s="127"/>
      <c r="N205" s="127"/>
      <c r="O205" s="127"/>
      <c r="P205" s="128"/>
    </row>
    <row r="206" spans="2:30" ht="39" customHeight="1" thickBot="1" x14ac:dyDescent="0.25">
      <c r="B206" s="605"/>
      <c r="C206" s="606"/>
      <c r="D206" s="126" t="s">
        <v>674</v>
      </c>
      <c r="E206" s="127"/>
      <c r="F206" s="127"/>
      <c r="G206" s="127"/>
      <c r="H206" s="127"/>
      <c r="I206" s="127"/>
      <c r="J206" s="192"/>
      <c r="K206" s="127"/>
      <c r="L206" s="127"/>
      <c r="M206" s="127"/>
      <c r="N206" s="127"/>
      <c r="O206" s="127"/>
      <c r="P206" s="128"/>
    </row>
    <row r="207" spans="2:30" ht="39" customHeight="1" thickBot="1" x14ac:dyDescent="0.25">
      <c r="B207" s="605"/>
      <c r="C207" s="606"/>
      <c r="D207" s="633" t="s">
        <v>135</v>
      </c>
      <c r="E207" s="611" t="s">
        <v>686</v>
      </c>
      <c r="F207" s="612"/>
      <c r="G207" s="611" t="s">
        <v>687</v>
      </c>
      <c r="H207" s="612"/>
      <c r="I207" s="611" t="s">
        <v>688</v>
      </c>
      <c r="J207" s="612"/>
      <c r="K207" s="611" t="s">
        <v>689</v>
      </c>
      <c r="L207" s="612"/>
      <c r="M207" s="611" t="s">
        <v>690</v>
      </c>
      <c r="N207" s="612"/>
      <c r="O207" s="611" t="s">
        <v>691</v>
      </c>
      <c r="P207" s="612"/>
    </row>
    <row r="208" spans="2:30" ht="39" customHeight="1" thickBot="1" x14ac:dyDescent="0.25">
      <c r="B208" s="607"/>
      <c r="C208" s="608"/>
      <c r="D208" s="634"/>
      <c r="E208" s="61" t="s">
        <v>149</v>
      </c>
      <c r="F208" s="62" t="s">
        <v>150</v>
      </c>
      <c r="G208" s="61" t="s">
        <v>149</v>
      </c>
      <c r="H208" s="62" t="s">
        <v>150</v>
      </c>
      <c r="I208" s="318" t="s">
        <v>149</v>
      </c>
      <c r="J208" s="62" t="s">
        <v>150</v>
      </c>
      <c r="K208" s="61" t="s">
        <v>149</v>
      </c>
      <c r="L208" s="62" t="s">
        <v>150</v>
      </c>
      <c r="M208" s="61" t="s">
        <v>149</v>
      </c>
      <c r="N208" s="62" t="s">
        <v>150</v>
      </c>
      <c r="O208" s="61" t="s">
        <v>149</v>
      </c>
      <c r="P208" s="62" t="s">
        <v>150</v>
      </c>
    </row>
    <row r="209" spans="2:16" ht="39" customHeight="1" x14ac:dyDescent="0.2">
      <c r="B209" s="603" t="s">
        <v>388</v>
      </c>
      <c r="C209" s="108" t="s">
        <v>391</v>
      </c>
      <c r="D209" s="124" t="s">
        <v>151</v>
      </c>
      <c r="E209" s="46">
        <v>0</v>
      </c>
      <c r="F209" s="47">
        <v>0</v>
      </c>
      <c r="G209" s="46">
        <v>942667</v>
      </c>
      <c r="H209" s="47">
        <v>62</v>
      </c>
      <c r="I209" s="194">
        <v>0</v>
      </c>
      <c r="J209" s="47">
        <v>0</v>
      </c>
      <c r="K209" s="46">
        <v>0</v>
      </c>
      <c r="L209" s="47">
        <v>0</v>
      </c>
      <c r="M209" s="46">
        <v>0</v>
      </c>
      <c r="N209" s="47">
        <v>0</v>
      </c>
      <c r="O209" s="46">
        <v>0</v>
      </c>
      <c r="P209" s="47">
        <v>0</v>
      </c>
    </row>
    <row r="210" spans="2:16" ht="36" customHeight="1" x14ac:dyDescent="0.2">
      <c r="B210" s="605"/>
      <c r="C210" s="109" t="s">
        <v>392</v>
      </c>
      <c r="D210" s="122" t="s">
        <v>152</v>
      </c>
      <c r="E210" s="48">
        <v>0</v>
      </c>
      <c r="F210" s="49">
        <v>0</v>
      </c>
      <c r="G210" s="48">
        <v>812</v>
      </c>
      <c r="H210" s="49">
        <v>1</v>
      </c>
      <c r="I210" s="195">
        <v>0</v>
      </c>
      <c r="J210" s="49">
        <v>0</v>
      </c>
      <c r="K210" s="48">
        <v>0</v>
      </c>
      <c r="L210" s="49">
        <v>0</v>
      </c>
      <c r="M210" s="48">
        <v>0</v>
      </c>
      <c r="N210" s="49">
        <v>0</v>
      </c>
      <c r="O210" s="48">
        <v>0</v>
      </c>
      <c r="P210" s="49">
        <v>0</v>
      </c>
    </row>
    <row r="211" spans="2:16" ht="36" customHeight="1" x14ac:dyDescent="0.2">
      <c r="B211" s="605"/>
      <c r="C211" s="109" t="s">
        <v>393</v>
      </c>
      <c r="D211" s="122" t="s">
        <v>153</v>
      </c>
      <c r="E211" s="50">
        <v>0</v>
      </c>
      <c r="F211" s="51">
        <v>0</v>
      </c>
      <c r="G211" s="50">
        <v>4112</v>
      </c>
      <c r="H211" s="51">
        <v>1</v>
      </c>
      <c r="I211" s="196">
        <v>0</v>
      </c>
      <c r="J211" s="51">
        <v>0</v>
      </c>
      <c r="K211" s="50">
        <v>0</v>
      </c>
      <c r="L211" s="51">
        <v>0</v>
      </c>
      <c r="M211" s="50">
        <v>0</v>
      </c>
      <c r="N211" s="51">
        <v>0</v>
      </c>
      <c r="O211" s="50">
        <v>0</v>
      </c>
      <c r="P211" s="51">
        <v>0</v>
      </c>
    </row>
    <row r="212" spans="2:16" ht="35.25" customHeight="1" x14ac:dyDescent="0.2">
      <c r="B212" s="605"/>
      <c r="C212" s="109" t="s">
        <v>394</v>
      </c>
      <c r="D212" s="122" t="s">
        <v>154</v>
      </c>
      <c r="E212" s="50">
        <v>0</v>
      </c>
      <c r="F212" s="51">
        <v>0</v>
      </c>
      <c r="G212" s="50">
        <v>478647</v>
      </c>
      <c r="H212" s="51">
        <v>14</v>
      </c>
      <c r="I212" s="196">
        <v>0</v>
      </c>
      <c r="J212" s="51">
        <v>0</v>
      </c>
      <c r="K212" s="50">
        <v>0</v>
      </c>
      <c r="L212" s="51">
        <v>0</v>
      </c>
      <c r="M212" s="50">
        <v>0</v>
      </c>
      <c r="N212" s="51">
        <v>0</v>
      </c>
      <c r="O212" s="50">
        <v>0</v>
      </c>
      <c r="P212" s="51">
        <v>0</v>
      </c>
    </row>
    <row r="213" spans="2:16" ht="32.25" customHeight="1" x14ac:dyDescent="0.2">
      <c r="B213" s="605"/>
      <c r="C213" s="109" t="s">
        <v>395</v>
      </c>
      <c r="D213" s="122" t="s">
        <v>155</v>
      </c>
      <c r="E213" s="50">
        <v>0</v>
      </c>
      <c r="F213" s="51">
        <v>0</v>
      </c>
      <c r="G213" s="50">
        <v>0</v>
      </c>
      <c r="H213" s="51">
        <v>0</v>
      </c>
      <c r="I213" s="196">
        <v>0</v>
      </c>
      <c r="J213" s="51">
        <v>0</v>
      </c>
      <c r="K213" s="50">
        <v>0</v>
      </c>
      <c r="L213" s="51">
        <v>0</v>
      </c>
      <c r="M213" s="50">
        <v>0</v>
      </c>
      <c r="N213" s="51">
        <v>0</v>
      </c>
      <c r="O213" s="50">
        <v>0</v>
      </c>
      <c r="P213" s="51">
        <v>0</v>
      </c>
    </row>
    <row r="214" spans="2:16" ht="32.25" customHeight="1" x14ac:dyDescent="0.2">
      <c r="B214" s="605"/>
      <c r="C214" s="109" t="s">
        <v>396</v>
      </c>
      <c r="D214" s="122" t="s">
        <v>156</v>
      </c>
      <c r="E214" s="50">
        <v>0</v>
      </c>
      <c r="F214" s="51">
        <v>0</v>
      </c>
      <c r="G214" s="50">
        <v>0</v>
      </c>
      <c r="H214" s="51">
        <v>0</v>
      </c>
      <c r="I214" s="196">
        <v>0</v>
      </c>
      <c r="J214" s="51">
        <v>0</v>
      </c>
      <c r="K214" s="50">
        <v>0</v>
      </c>
      <c r="L214" s="51">
        <v>0</v>
      </c>
      <c r="M214" s="50">
        <v>0</v>
      </c>
      <c r="N214" s="51">
        <v>0</v>
      </c>
      <c r="O214" s="50">
        <v>0</v>
      </c>
      <c r="P214" s="51">
        <v>0</v>
      </c>
    </row>
    <row r="215" spans="2:16" ht="36.75" customHeight="1" thickBot="1" x14ac:dyDescent="0.25">
      <c r="B215" s="607"/>
      <c r="C215" s="110" t="s">
        <v>397</v>
      </c>
      <c r="D215" s="123" t="s">
        <v>157</v>
      </c>
      <c r="E215" s="54">
        <v>0</v>
      </c>
      <c r="F215" s="55">
        <v>0</v>
      </c>
      <c r="G215" s="54">
        <v>0</v>
      </c>
      <c r="H215" s="55">
        <v>0</v>
      </c>
      <c r="I215" s="198">
        <v>0</v>
      </c>
      <c r="J215" s="55">
        <v>0</v>
      </c>
      <c r="K215" s="54">
        <v>0</v>
      </c>
      <c r="L215" s="55">
        <v>0</v>
      </c>
      <c r="M215" s="54">
        <v>0</v>
      </c>
      <c r="N215" s="55">
        <v>0</v>
      </c>
      <c r="O215" s="54">
        <v>0</v>
      </c>
      <c r="P215" s="55">
        <v>0</v>
      </c>
    </row>
    <row r="216" spans="2:16" ht="36.75" customHeight="1" x14ac:dyDescent="0.2">
      <c r="B216" s="630" t="s">
        <v>389</v>
      </c>
      <c r="C216" s="111" t="s">
        <v>398</v>
      </c>
      <c r="D216" s="63" t="s">
        <v>151</v>
      </c>
      <c r="E216" s="46">
        <v>0</v>
      </c>
      <c r="F216" s="47">
        <v>0</v>
      </c>
      <c r="G216" s="46">
        <v>0</v>
      </c>
      <c r="H216" s="47">
        <v>0</v>
      </c>
      <c r="I216" s="194">
        <v>0</v>
      </c>
      <c r="J216" s="47">
        <v>0</v>
      </c>
      <c r="K216" s="46">
        <v>0</v>
      </c>
      <c r="L216" s="47">
        <v>0</v>
      </c>
      <c r="M216" s="46">
        <v>0</v>
      </c>
      <c r="N216" s="47">
        <v>0</v>
      </c>
      <c r="O216" s="46">
        <v>0</v>
      </c>
      <c r="P216" s="47">
        <v>0</v>
      </c>
    </row>
    <row r="217" spans="2:16" ht="36.75" customHeight="1" x14ac:dyDescent="0.2">
      <c r="B217" s="631"/>
      <c r="C217" s="111" t="s">
        <v>399</v>
      </c>
      <c r="D217" s="63" t="s">
        <v>152</v>
      </c>
      <c r="E217" s="48">
        <v>0</v>
      </c>
      <c r="F217" s="49">
        <v>0</v>
      </c>
      <c r="G217" s="48">
        <v>0</v>
      </c>
      <c r="H217" s="49">
        <v>0</v>
      </c>
      <c r="I217" s="195">
        <v>0</v>
      </c>
      <c r="J217" s="49">
        <v>0</v>
      </c>
      <c r="K217" s="48">
        <v>0</v>
      </c>
      <c r="L217" s="49">
        <v>0</v>
      </c>
      <c r="M217" s="48">
        <v>0</v>
      </c>
      <c r="N217" s="49">
        <v>0</v>
      </c>
      <c r="O217" s="48">
        <v>0</v>
      </c>
      <c r="P217" s="49">
        <v>0</v>
      </c>
    </row>
    <row r="218" spans="2:16" ht="36.75" customHeight="1" x14ac:dyDescent="0.2">
      <c r="B218" s="631"/>
      <c r="C218" s="111" t="s">
        <v>400</v>
      </c>
      <c r="D218" s="63" t="s">
        <v>153</v>
      </c>
      <c r="E218" s="50">
        <v>0</v>
      </c>
      <c r="F218" s="51">
        <v>0</v>
      </c>
      <c r="G218" s="50">
        <v>0</v>
      </c>
      <c r="H218" s="51">
        <v>0</v>
      </c>
      <c r="I218" s="196">
        <v>0</v>
      </c>
      <c r="J218" s="51">
        <v>0</v>
      </c>
      <c r="K218" s="50">
        <v>0</v>
      </c>
      <c r="L218" s="51">
        <v>0</v>
      </c>
      <c r="M218" s="50">
        <v>0</v>
      </c>
      <c r="N218" s="51">
        <v>0</v>
      </c>
      <c r="O218" s="50">
        <v>0</v>
      </c>
      <c r="P218" s="51">
        <v>0</v>
      </c>
    </row>
    <row r="219" spans="2:16" ht="44.25" customHeight="1" x14ac:dyDescent="0.2">
      <c r="B219" s="631"/>
      <c r="C219" s="111" t="s">
        <v>401</v>
      </c>
      <c r="D219" s="63" t="s">
        <v>154</v>
      </c>
      <c r="E219" s="50">
        <v>0</v>
      </c>
      <c r="F219" s="51">
        <v>0</v>
      </c>
      <c r="G219" s="50">
        <v>0</v>
      </c>
      <c r="H219" s="51">
        <v>0</v>
      </c>
      <c r="I219" s="196">
        <v>0</v>
      </c>
      <c r="J219" s="51">
        <v>0</v>
      </c>
      <c r="K219" s="50">
        <v>0</v>
      </c>
      <c r="L219" s="51">
        <v>0</v>
      </c>
      <c r="M219" s="50">
        <v>0</v>
      </c>
      <c r="N219" s="51">
        <v>0</v>
      </c>
      <c r="O219" s="50">
        <v>0</v>
      </c>
      <c r="P219" s="51">
        <v>0</v>
      </c>
    </row>
    <row r="220" spans="2:16" ht="37.5" customHeight="1" x14ac:dyDescent="0.2">
      <c r="B220" s="631"/>
      <c r="C220" s="111" t="s">
        <v>402</v>
      </c>
      <c r="D220" s="63" t="s">
        <v>155</v>
      </c>
      <c r="E220" s="50">
        <v>0</v>
      </c>
      <c r="F220" s="51">
        <v>0</v>
      </c>
      <c r="G220" s="50">
        <v>0</v>
      </c>
      <c r="H220" s="51">
        <v>0</v>
      </c>
      <c r="I220" s="196">
        <v>0</v>
      </c>
      <c r="J220" s="51">
        <v>0</v>
      </c>
      <c r="K220" s="50">
        <v>0</v>
      </c>
      <c r="L220" s="51">
        <v>0</v>
      </c>
      <c r="M220" s="50">
        <v>0</v>
      </c>
      <c r="N220" s="51">
        <v>0</v>
      </c>
      <c r="O220" s="50">
        <v>0</v>
      </c>
      <c r="P220" s="51">
        <v>0</v>
      </c>
    </row>
    <row r="221" spans="2:16" ht="37.5" customHeight="1" x14ac:dyDescent="0.2">
      <c r="B221" s="631"/>
      <c r="C221" s="111" t="s">
        <v>403</v>
      </c>
      <c r="D221" s="63" t="s">
        <v>156</v>
      </c>
      <c r="E221" s="50">
        <v>0</v>
      </c>
      <c r="F221" s="51">
        <v>0</v>
      </c>
      <c r="G221" s="50">
        <v>0</v>
      </c>
      <c r="H221" s="51">
        <v>0</v>
      </c>
      <c r="I221" s="196">
        <v>0</v>
      </c>
      <c r="J221" s="51">
        <v>0</v>
      </c>
      <c r="K221" s="50">
        <v>0</v>
      </c>
      <c r="L221" s="51">
        <v>0</v>
      </c>
      <c r="M221" s="50">
        <v>0</v>
      </c>
      <c r="N221" s="51">
        <v>0</v>
      </c>
      <c r="O221" s="50">
        <v>0</v>
      </c>
      <c r="P221" s="51">
        <v>0</v>
      </c>
    </row>
    <row r="222" spans="2:16" ht="37.5" customHeight="1" thickBot="1" x14ac:dyDescent="0.25">
      <c r="B222" s="632"/>
      <c r="C222" s="112" t="s">
        <v>404</v>
      </c>
      <c r="D222" s="106" t="s">
        <v>157</v>
      </c>
      <c r="E222" s="54">
        <v>0</v>
      </c>
      <c r="F222" s="55">
        <v>0</v>
      </c>
      <c r="G222" s="54">
        <v>0</v>
      </c>
      <c r="H222" s="55">
        <v>0</v>
      </c>
      <c r="I222" s="198">
        <v>0</v>
      </c>
      <c r="J222" s="55">
        <v>0</v>
      </c>
      <c r="K222" s="54">
        <v>0</v>
      </c>
      <c r="L222" s="55">
        <v>0</v>
      </c>
      <c r="M222" s="54">
        <v>0</v>
      </c>
      <c r="N222" s="55">
        <v>0</v>
      </c>
      <c r="O222" s="54">
        <v>0</v>
      </c>
      <c r="P222" s="55">
        <v>0</v>
      </c>
    </row>
    <row r="223" spans="2:16" ht="37.5" customHeight="1" x14ac:dyDescent="0.2">
      <c r="B223" s="603" t="s">
        <v>390</v>
      </c>
      <c r="C223" s="108" t="s">
        <v>405</v>
      </c>
      <c r="D223" s="124" t="s">
        <v>151</v>
      </c>
      <c r="E223" s="46">
        <v>0</v>
      </c>
      <c r="F223" s="47">
        <v>0</v>
      </c>
      <c r="G223" s="46">
        <v>0</v>
      </c>
      <c r="H223" s="47">
        <v>0</v>
      </c>
      <c r="I223" s="194">
        <v>0</v>
      </c>
      <c r="J223" s="47">
        <v>0</v>
      </c>
      <c r="K223" s="46">
        <v>1325645470</v>
      </c>
      <c r="L223" s="47">
        <v>24</v>
      </c>
      <c r="M223" s="46">
        <v>2315600912</v>
      </c>
      <c r="N223" s="47">
        <v>10</v>
      </c>
      <c r="O223" s="46">
        <v>0</v>
      </c>
      <c r="P223" s="47">
        <v>0</v>
      </c>
    </row>
    <row r="224" spans="2:16" ht="33" customHeight="1" x14ac:dyDescent="0.2">
      <c r="B224" s="605"/>
      <c r="C224" s="109" t="s">
        <v>406</v>
      </c>
      <c r="D224" s="65" t="s">
        <v>152</v>
      </c>
      <c r="E224" s="48">
        <v>0</v>
      </c>
      <c r="F224" s="49">
        <v>0</v>
      </c>
      <c r="G224" s="48">
        <v>0</v>
      </c>
      <c r="H224" s="49">
        <v>0</v>
      </c>
      <c r="I224" s="195">
        <v>0</v>
      </c>
      <c r="J224" s="49">
        <v>0</v>
      </c>
      <c r="K224" s="48">
        <v>0</v>
      </c>
      <c r="L224" s="49">
        <v>0</v>
      </c>
      <c r="M224" s="48">
        <v>0</v>
      </c>
      <c r="N224" s="49">
        <v>0</v>
      </c>
      <c r="O224" s="48">
        <v>0</v>
      </c>
      <c r="P224" s="49">
        <v>0</v>
      </c>
    </row>
    <row r="225" spans="2:16" ht="33" customHeight="1" x14ac:dyDescent="0.2">
      <c r="B225" s="605"/>
      <c r="C225" s="109" t="s">
        <v>407</v>
      </c>
      <c r="D225" s="65" t="s">
        <v>153</v>
      </c>
      <c r="E225" s="50">
        <v>0</v>
      </c>
      <c r="F225" s="51">
        <v>0</v>
      </c>
      <c r="G225" s="50">
        <v>0</v>
      </c>
      <c r="H225" s="51">
        <v>0</v>
      </c>
      <c r="I225" s="196">
        <v>0</v>
      </c>
      <c r="J225" s="51">
        <v>0</v>
      </c>
      <c r="K225" s="50">
        <v>0</v>
      </c>
      <c r="L225" s="51">
        <v>0</v>
      </c>
      <c r="M225" s="50">
        <v>0</v>
      </c>
      <c r="N225" s="51">
        <v>0</v>
      </c>
      <c r="O225" s="50">
        <v>0</v>
      </c>
      <c r="P225" s="51">
        <v>0</v>
      </c>
    </row>
    <row r="226" spans="2:16" ht="36" customHeight="1" x14ac:dyDescent="0.2">
      <c r="B226" s="605"/>
      <c r="C226" s="109" t="s">
        <v>408</v>
      </c>
      <c r="D226" s="65" t="s">
        <v>154</v>
      </c>
      <c r="E226" s="50">
        <v>0</v>
      </c>
      <c r="F226" s="51">
        <v>0</v>
      </c>
      <c r="G226" s="50">
        <v>0</v>
      </c>
      <c r="H226" s="51">
        <v>0</v>
      </c>
      <c r="I226" s="196">
        <v>0</v>
      </c>
      <c r="J226" s="51">
        <v>0</v>
      </c>
      <c r="K226" s="50">
        <v>0</v>
      </c>
      <c r="L226" s="51">
        <v>0</v>
      </c>
      <c r="M226" s="50">
        <v>985753050</v>
      </c>
      <c r="N226" s="51">
        <v>5</v>
      </c>
      <c r="O226" s="50">
        <v>0</v>
      </c>
      <c r="P226" s="51">
        <v>0</v>
      </c>
    </row>
    <row r="227" spans="2:16" ht="36" customHeight="1" x14ac:dyDescent="0.2">
      <c r="B227" s="605"/>
      <c r="C227" s="109" t="s">
        <v>409</v>
      </c>
      <c r="D227" s="65" t="s">
        <v>155</v>
      </c>
      <c r="E227" s="50">
        <v>0</v>
      </c>
      <c r="F227" s="51">
        <v>0</v>
      </c>
      <c r="G227" s="50">
        <v>0</v>
      </c>
      <c r="H227" s="51">
        <v>0</v>
      </c>
      <c r="I227" s="196">
        <v>0</v>
      </c>
      <c r="J227" s="51">
        <v>0</v>
      </c>
      <c r="K227" s="50">
        <v>805334197</v>
      </c>
      <c r="L227" s="51">
        <v>10</v>
      </c>
      <c r="M227" s="50">
        <v>8400700013</v>
      </c>
      <c r="N227" s="51">
        <v>15</v>
      </c>
      <c r="O227" s="50">
        <v>3904557029</v>
      </c>
      <c r="P227" s="51">
        <v>2</v>
      </c>
    </row>
    <row r="228" spans="2:16" ht="33" customHeight="1" x14ac:dyDescent="0.2">
      <c r="B228" s="605"/>
      <c r="C228" s="109" t="s">
        <v>410</v>
      </c>
      <c r="D228" s="65" t="s">
        <v>156</v>
      </c>
      <c r="E228" s="50">
        <v>0</v>
      </c>
      <c r="F228" s="51">
        <v>0</v>
      </c>
      <c r="G228" s="50">
        <v>0</v>
      </c>
      <c r="H228" s="51">
        <v>0</v>
      </c>
      <c r="I228" s="196">
        <v>0</v>
      </c>
      <c r="J228" s="51">
        <v>0</v>
      </c>
      <c r="K228" s="50">
        <v>46338504</v>
      </c>
      <c r="L228" s="51">
        <v>2</v>
      </c>
      <c r="M228" s="50">
        <v>0</v>
      </c>
      <c r="N228" s="51">
        <v>0</v>
      </c>
      <c r="O228" s="50">
        <v>0</v>
      </c>
      <c r="P228" s="51">
        <v>0</v>
      </c>
    </row>
    <row r="229" spans="2:16" ht="33.75" customHeight="1" x14ac:dyDescent="0.2">
      <c r="B229" s="605"/>
      <c r="C229" s="109" t="s">
        <v>411</v>
      </c>
      <c r="D229" s="122" t="s">
        <v>157</v>
      </c>
      <c r="E229" s="52">
        <v>0</v>
      </c>
      <c r="F229" s="53">
        <v>0</v>
      </c>
      <c r="G229" s="52">
        <v>0</v>
      </c>
      <c r="H229" s="53">
        <v>0</v>
      </c>
      <c r="I229" s="197">
        <v>0</v>
      </c>
      <c r="J229" s="53">
        <v>0</v>
      </c>
      <c r="K229" s="52">
        <v>0</v>
      </c>
      <c r="L229" s="53">
        <v>0</v>
      </c>
      <c r="M229" s="52">
        <v>0</v>
      </c>
      <c r="N229" s="53">
        <v>0</v>
      </c>
      <c r="O229" s="52">
        <v>0</v>
      </c>
      <c r="P229" s="53">
        <v>0</v>
      </c>
    </row>
    <row r="230" spans="2:16" ht="33.75" customHeight="1" thickBot="1" x14ac:dyDescent="0.25">
      <c r="B230" s="607"/>
      <c r="C230" s="110" t="s">
        <v>412</v>
      </c>
      <c r="D230" s="123" t="s">
        <v>158</v>
      </c>
      <c r="E230" s="120">
        <v>0</v>
      </c>
      <c r="F230" s="56">
        <v>0</v>
      </c>
      <c r="G230" s="120">
        <v>0</v>
      </c>
      <c r="H230" s="56">
        <v>0</v>
      </c>
      <c r="I230" s="199">
        <v>0</v>
      </c>
      <c r="J230" s="56">
        <v>0</v>
      </c>
      <c r="K230" s="120">
        <v>0</v>
      </c>
      <c r="L230" s="56">
        <v>0</v>
      </c>
      <c r="M230" s="120">
        <v>0</v>
      </c>
      <c r="N230" s="56">
        <v>0</v>
      </c>
      <c r="O230" s="120">
        <v>0</v>
      </c>
      <c r="P230" s="56">
        <v>0</v>
      </c>
    </row>
    <row r="231" spans="2:16" ht="33.75" customHeight="1" thickBot="1" x14ac:dyDescent="0.25">
      <c r="B231" s="305"/>
      <c r="C231" s="323"/>
      <c r="D231" s="323"/>
      <c r="E231" s="324"/>
      <c r="F231" s="324"/>
      <c r="G231" s="324"/>
      <c r="H231" s="324"/>
      <c r="I231" s="325"/>
      <c r="J231" s="324"/>
      <c r="K231" s="324"/>
      <c r="L231" s="324"/>
      <c r="M231" s="324"/>
      <c r="N231" s="324"/>
      <c r="O231" s="324"/>
      <c r="P231" s="324"/>
    </row>
    <row r="232" spans="2:16" ht="39" customHeight="1" thickBot="1" x14ac:dyDescent="0.25">
      <c r="B232" s="603" t="s">
        <v>387</v>
      </c>
      <c r="C232" s="604"/>
      <c r="D232" s="126" t="s">
        <v>159</v>
      </c>
      <c r="E232" s="57"/>
      <c r="F232" s="57"/>
      <c r="G232" s="57"/>
      <c r="H232" s="57"/>
      <c r="I232" s="57"/>
      <c r="J232" s="191"/>
      <c r="K232" s="57"/>
      <c r="L232" s="57"/>
      <c r="M232" s="57"/>
      <c r="N232" s="57"/>
      <c r="O232" s="57"/>
      <c r="P232" s="58"/>
    </row>
    <row r="233" spans="2:16" ht="39" customHeight="1" thickBot="1" x14ac:dyDescent="0.25">
      <c r="B233" s="605"/>
      <c r="C233" s="606"/>
      <c r="D233" s="126" t="s">
        <v>612</v>
      </c>
      <c r="E233" s="57"/>
      <c r="F233" s="57"/>
      <c r="G233" s="57"/>
      <c r="H233" s="57"/>
      <c r="I233" s="57"/>
      <c r="J233" s="191"/>
      <c r="K233" s="57"/>
      <c r="L233" s="57"/>
      <c r="M233" s="57"/>
      <c r="N233" s="57"/>
      <c r="O233" s="57"/>
      <c r="P233" s="58"/>
    </row>
    <row r="234" spans="2:16" ht="39" customHeight="1" thickBot="1" x14ac:dyDescent="0.25">
      <c r="B234" s="605"/>
      <c r="C234" s="606"/>
      <c r="D234" s="126" t="s">
        <v>673</v>
      </c>
      <c r="E234" s="127"/>
      <c r="F234" s="127"/>
      <c r="G234" s="127"/>
      <c r="H234" s="127"/>
      <c r="I234" s="127"/>
      <c r="J234" s="192"/>
      <c r="K234" s="127"/>
      <c r="L234" s="127"/>
      <c r="M234" s="127"/>
      <c r="N234" s="127"/>
      <c r="O234" s="127"/>
      <c r="P234" s="128"/>
    </row>
    <row r="235" spans="2:16" ht="39" customHeight="1" thickBot="1" x14ac:dyDescent="0.25">
      <c r="B235" s="605"/>
      <c r="C235" s="606"/>
      <c r="D235" s="126" t="s">
        <v>675</v>
      </c>
      <c r="E235" s="127"/>
      <c r="F235" s="127"/>
      <c r="G235" s="127"/>
      <c r="H235" s="127"/>
      <c r="I235" s="127"/>
      <c r="J235" s="192"/>
      <c r="K235" s="127"/>
      <c r="L235" s="127"/>
      <c r="M235" s="127"/>
      <c r="N235" s="127"/>
      <c r="O235" s="127"/>
      <c r="P235" s="128"/>
    </row>
    <row r="236" spans="2:16" ht="39" customHeight="1" thickBot="1" x14ac:dyDescent="0.25">
      <c r="B236" s="605"/>
      <c r="C236" s="606"/>
      <c r="D236" s="633" t="s">
        <v>135</v>
      </c>
      <c r="E236" s="611" t="s">
        <v>686</v>
      </c>
      <c r="F236" s="612"/>
      <c r="G236" s="611" t="s">
        <v>687</v>
      </c>
      <c r="H236" s="612"/>
      <c r="I236" s="611" t="s">
        <v>688</v>
      </c>
      <c r="J236" s="612"/>
      <c r="K236" s="611" t="s">
        <v>689</v>
      </c>
      <c r="L236" s="612"/>
      <c r="M236" s="611" t="s">
        <v>690</v>
      </c>
      <c r="N236" s="612"/>
      <c r="O236" s="611" t="s">
        <v>691</v>
      </c>
      <c r="P236" s="612"/>
    </row>
    <row r="237" spans="2:16" ht="39" customHeight="1" thickBot="1" x14ac:dyDescent="0.25">
      <c r="B237" s="607"/>
      <c r="C237" s="608"/>
      <c r="D237" s="634"/>
      <c r="E237" s="61" t="s">
        <v>149</v>
      </c>
      <c r="F237" s="62" t="s">
        <v>150</v>
      </c>
      <c r="G237" s="61" t="s">
        <v>149</v>
      </c>
      <c r="H237" s="62" t="s">
        <v>150</v>
      </c>
      <c r="I237" s="318" t="s">
        <v>149</v>
      </c>
      <c r="J237" s="62" t="s">
        <v>150</v>
      </c>
      <c r="K237" s="61" t="s">
        <v>149</v>
      </c>
      <c r="L237" s="62" t="s">
        <v>150</v>
      </c>
      <c r="M237" s="61" t="s">
        <v>149</v>
      </c>
      <c r="N237" s="62" t="s">
        <v>150</v>
      </c>
      <c r="O237" s="61" t="s">
        <v>149</v>
      </c>
      <c r="P237" s="62" t="s">
        <v>150</v>
      </c>
    </row>
    <row r="238" spans="2:16" ht="39" customHeight="1" x14ac:dyDescent="0.2">
      <c r="B238" s="603" t="s">
        <v>388</v>
      </c>
      <c r="C238" s="108" t="s">
        <v>391</v>
      </c>
      <c r="D238" s="135" t="s">
        <v>151</v>
      </c>
      <c r="E238" s="46">
        <v>0</v>
      </c>
      <c r="F238" s="47">
        <v>0</v>
      </c>
      <c r="G238" s="46">
        <v>0</v>
      </c>
      <c r="H238" s="47">
        <v>0</v>
      </c>
      <c r="I238" s="194">
        <v>0</v>
      </c>
      <c r="J238" s="47">
        <v>0</v>
      </c>
      <c r="K238" s="46">
        <v>0</v>
      </c>
      <c r="L238" s="47">
        <v>0</v>
      </c>
      <c r="M238" s="46">
        <v>0</v>
      </c>
      <c r="N238" s="47">
        <v>0</v>
      </c>
      <c r="O238" s="46">
        <v>0</v>
      </c>
      <c r="P238" s="47">
        <v>0</v>
      </c>
    </row>
    <row r="239" spans="2:16" ht="36" customHeight="1" x14ac:dyDescent="0.2">
      <c r="B239" s="605"/>
      <c r="C239" s="109" t="s">
        <v>392</v>
      </c>
      <c r="D239" s="133" t="s">
        <v>152</v>
      </c>
      <c r="E239" s="48">
        <v>0</v>
      </c>
      <c r="F239" s="49">
        <v>0</v>
      </c>
      <c r="G239" s="48">
        <v>0</v>
      </c>
      <c r="H239" s="49">
        <v>0</v>
      </c>
      <c r="I239" s="195">
        <v>0</v>
      </c>
      <c r="J239" s="49">
        <v>0</v>
      </c>
      <c r="K239" s="48">
        <v>0</v>
      </c>
      <c r="L239" s="49">
        <v>0</v>
      </c>
      <c r="M239" s="48">
        <v>0</v>
      </c>
      <c r="N239" s="49">
        <v>0</v>
      </c>
      <c r="O239" s="48">
        <v>0</v>
      </c>
      <c r="P239" s="49">
        <v>0</v>
      </c>
    </row>
    <row r="240" spans="2:16" ht="36" customHeight="1" x14ac:dyDescent="0.2">
      <c r="B240" s="605"/>
      <c r="C240" s="109" t="s">
        <v>393</v>
      </c>
      <c r="D240" s="133" t="s">
        <v>153</v>
      </c>
      <c r="E240" s="50">
        <v>0</v>
      </c>
      <c r="F240" s="51">
        <v>0</v>
      </c>
      <c r="G240" s="50">
        <v>0</v>
      </c>
      <c r="H240" s="51">
        <v>0</v>
      </c>
      <c r="I240" s="196">
        <v>0</v>
      </c>
      <c r="J240" s="51">
        <v>0</v>
      </c>
      <c r="K240" s="50">
        <v>0</v>
      </c>
      <c r="L240" s="51">
        <v>0</v>
      </c>
      <c r="M240" s="50">
        <v>0</v>
      </c>
      <c r="N240" s="51">
        <v>0</v>
      </c>
      <c r="O240" s="50">
        <v>0</v>
      </c>
      <c r="P240" s="51">
        <v>0</v>
      </c>
    </row>
    <row r="241" spans="2:16" ht="35.25" customHeight="1" x14ac:dyDescent="0.2">
      <c r="B241" s="605"/>
      <c r="C241" s="109" t="s">
        <v>394</v>
      </c>
      <c r="D241" s="133" t="s">
        <v>154</v>
      </c>
      <c r="E241" s="50">
        <v>0</v>
      </c>
      <c r="F241" s="51">
        <v>0</v>
      </c>
      <c r="G241" s="50">
        <v>0</v>
      </c>
      <c r="H241" s="51">
        <v>0</v>
      </c>
      <c r="I241" s="196">
        <v>0</v>
      </c>
      <c r="J241" s="51">
        <v>0</v>
      </c>
      <c r="K241" s="50">
        <v>0</v>
      </c>
      <c r="L241" s="51">
        <v>0</v>
      </c>
      <c r="M241" s="50">
        <v>0</v>
      </c>
      <c r="N241" s="51">
        <v>0</v>
      </c>
      <c r="O241" s="50">
        <v>0</v>
      </c>
      <c r="P241" s="51">
        <v>0</v>
      </c>
    </row>
    <row r="242" spans="2:16" ht="32.25" customHeight="1" x14ac:dyDescent="0.2">
      <c r="B242" s="605"/>
      <c r="C242" s="109" t="s">
        <v>395</v>
      </c>
      <c r="D242" s="133" t="s">
        <v>155</v>
      </c>
      <c r="E242" s="50">
        <v>0</v>
      </c>
      <c r="F242" s="51">
        <v>0</v>
      </c>
      <c r="G242" s="50">
        <v>0</v>
      </c>
      <c r="H242" s="51">
        <v>0</v>
      </c>
      <c r="I242" s="196">
        <v>0</v>
      </c>
      <c r="J242" s="51">
        <v>0</v>
      </c>
      <c r="K242" s="50">
        <v>0</v>
      </c>
      <c r="L242" s="51">
        <v>0</v>
      </c>
      <c r="M242" s="50">
        <v>0</v>
      </c>
      <c r="N242" s="51">
        <v>0</v>
      </c>
      <c r="O242" s="50">
        <v>0</v>
      </c>
      <c r="P242" s="51">
        <v>0</v>
      </c>
    </row>
    <row r="243" spans="2:16" ht="32.25" customHeight="1" x14ac:dyDescent="0.2">
      <c r="B243" s="605"/>
      <c r="C243" s="109" t="s">
        <v>396</v>
      </c>
      <c r="D243" s="133" t="s">
        <v>156</v>
      </c>
      <c r="E243" s="50">
        <v>0</v>
      </c>
      <c r="F243" s="51">
        <v>0</v>
      </c>
      <c r="G243" s="50">
        <v>0</v>
      </c>
      <c r="H243" s="51">
        <v>0</v>
      </c>
      <c r="I243" s="196">
        <v>0</v>
      </c>
      <c r="J243" s="51">
        <v>0</v>
      </c>
      <c r="K243" s="50">
        <v>0</v>
      </c>
      <c r="L243" s="51">
        <v>0</v>
      </c>
      <c r="M243" s="50">
        <v>0</v>
      </c>
      <c r="N243" s="51">
        <v>0</v>
      </c>
      <c r="O243" s="50">
        <v>0</v>
      </c>
      <c r="P243" s="51">
        <v>0</v>
      </c>
    </row>
    <row r="244" spans="2:16" ht="36.75" customHeight="1" thickBot="1" x14ac:dyDescent="0.25">
      <c r="B244" s="607"/>
      <c r="C244" s="110" t="s">
        <v>397</v>
      </c>
      <c r="D244" s="132" t="s">
        <v>157</v>
      </c>
      <c r="E244" s="54">
        <v>0</v>
      </c>
      <c r="F244" s="55">
        <v>0</v>
      </c>
      <c r="G244" s="54">
        <v>0</v>
      </c>
      <c r="H244" s="55">
        <v>0</v>
      </c>
      <c r="I244" s="198">
        <v>0</v>
      </c>
      <c r="J244" s="55">
        <v>0</v>
      </c>
      <c r="K244" s="54">
        <v>0</v>
      </c>
      <c r="L244" s="55">
        <v>0</v>
      </c>
      <c r="M244" s="54">
        <v>0</v>
      </c>
      <c r="N244" s="55">
        <v>0</v>
      </c>
      <c r="O244" s="54">
        <v>0</v>
      </c>
      <c r="P244" s="55">
        <v>0</v>
      </c>
    </row>
    <row r="245" spans="2:16" ht="36.75" customHeight="1" x14ac:dyDescent="0.2">
      <c r="B245" s="630" t="s">
        <v>389</v>
      </c>
      <c r="C245" s="111" t="s">
        <v>398</v>
      </c>
      <c r="D245" s="63" t="s">
        <v>151</v>
      </c>
      <c r="E245" s="46">
        <v>0</v>
      </c>
      <c r="F245" s="47">
        <v>0</v>
      </c>
      <c r="G245" s="46">
        <v>0</v>
      </c>
      <c r="H245" s="47">
        <v>0</v>
      </c>
      <c r="I245" s="194">
        <v>0</v>
      </c>
      <c r="J245" s="47">
        <v>0</v>
      </c>
      <c r="K245" s="46">
        <v>0</v>
      </c>
      <c r="L245" s="47">
        <v>0</v>
      </c>
      <c r="M245" s="46">
        <v>0</v>
      </c>
      <c r="N245" s="47">
        <v>0</v>
      </c>
      <c r="O245" s="46">
        <v>0</v>
      </c>
      <c r="P245" s="47">
        <v>0</v>
      </c>
    </row>
    <row r="246" spans="2:16" ht="36.75" customHeight="1" x14ac:dyDescent="0.2">
      <c r="B246" s="631"/>
      <c r="C246" s="111" t="s">
        <v>399</v>
      </c>
      <c r="D246" s="63" t="s">
        <v>152</v>
      </c>
      <c r="E246" s="48">
        <v>0</v>
      </c>
      <c r="F246" s="49">
        <v>0</v>
      </c>
      <c r="G246" s="48">
        <v>0</v>
      </c>
      <c r="H246" s="49">
        <v>0</v>
      </c>
      <c r="I246" s="195">
        <v>0</v>
      </c>
      <c r="J246" s="49">
        <v>0</v>
      </c>
      <c r="K246" s="48">
        <v>0</v>
      </c>
      <c r="L246" s="49">
        <v>0</v>
      </c>
      <c r="M246" s="48">
        <v>0</v>
      </c>
      <c r="N246" s="49">
        <v>0</v>
      </c>
      <c r="O246" s="48">
        <v>0</v>
      </c>
      <c r="P246" s="49">
        <v>0</v>
      </c>
    </row>
    <row r="247" spans="2:16" ht="36.75" customHeight="1" x14ac:dyDescent="0.2">
      <c r="B247" s="631"/>
      <c r="C247" s="111" t="s">
        <v>400</v>
      </c>
      <c r="D247" s="63" t="s">
        <v>153</v>
      </c>
      <c r="E247" s="50">
        <v>0</v>
      </c>
      <c r="F247" s="51">
        <v>0</v>
      </c>
      <c r="G247" s="50">
        <v>0</v>
      </c>
      <c r="H247" s="51">
        <v>0</v>
      </c>
      <c r="I247" s="196">
        <v>0</v>
      </c>
      <c r="J247" s="51">
        <v>0</v>
      </c>
      <c r="K247" s="50">
        <v>0</v>
      </c>
      <c r="L247" s="51">
        <v>0</v>
      </c>
      <c r="M247" s="50">
        <v>0</v>
      </c>
      <c r="N247" s="51">
        <v>0</v>
      </c>
      <c r="O247" s="50">
        <v>0</v>
      </c>
      <c r="P247" s="51">
        <v>0</v>
      </c>
    </row>
    <row r="248" spans="2:16" ht="44.25" customHeight="1" x14ac:dyDescent="0.2">
      <c r="B248" s="631"/>
      <c r="C248" s="111" t="s">
        <v>401</v>
      </c>
      <c r="D248" s="63" t="s">
        <v>154</v>
      </c>
      <c r="E248" s="50">
        <v>0</v>
      </c>
      <c r="F248" s="51">
        <v>0</v>
      </c>
      <c r="G248" s="50">
        <v>0</v>
      </c>
      <c r="H248" s="51">
        <v>0</v>
      </c>
      <c r="I248" s="196">
        <v>0</v>
      </c>
      <c r="J248" s="51">
        <v>0</v>
      </c>
      <c r="K248" s="50">
        <v>0</v>
      </c>
      <c r="L248" s="51">
        <v>0</v>
      </c>
      <c r="M248" s="50">
        <v>0</v>
      </c>
      <c r="N248" s="51">
        <v>0</v>
      </c>
      <c r="O248" s="50">
        <v>0</v>
      </c>
      <c r="P248" s="51">
        <v>0</v>
      </c>
    </row>
    <row r="249" spans="2:16" ht="37.5" customHeight="1" x14ac:dyDescent="0.2">
      <c r="B249" s="631"/>
      <c r="C249" s="111" t="s">
        <v>402</v>
      </c>
      <c r="D249" s="63" t="s">
        <v>155</v>
      </c>
      <c r="E249" s="50">
        <v>0</v>
      </c>
      <c r="F249" s="51">
        <v>0</v>
      </c>
      <c r="G249" s="50">
        <v>0</v>
      </c>
      <c r="H249" s="51">
        <v>0</v>
      </c>
      <c r="I249" s="196">
        <v>0</v>
      </c>
      <c r="J249" s="51">
        <v>0</v>
      </c>
      <c r="K249" s="50">
        <v>0</v>
      </c>
      <c r="L249" s="51">
        <v>0</v>
      </c>
      <c r="M249" s="50">
        <v>0</v>
      </c>
      <c r="N249" s="51">
        <v>0</v>
      </c>
      <c r="O249" s="50">
        <v>0</v>
      </c>
      <c r="P249" s="51">
        <v>0</v>
      </c>
    </row>
    <row r="250" spans="2:16" ht="37.5" customHeight="1" x14ac:dyDescent="0.2">
      <c r="B250" s="631"/>
      <c r="C250" s="111" t="s">
        <v>403</v>
      </c>
      <c r="D250" s="63" t="s">
        <v>156</v>
      </c>
      <c r="E250" s="50">
        <v>0</v>
      </c>
      <c r="F250" s="51">
        <v>0</v>
      </c>
      <c r="G250" s="50">
        <v>0</v>
      </c>
      <c r="H250" s="51">
        <v>0</v>
      </c>
      <c r="I250" s="196">
        <v>0</v>
      </c>
      <c r="J250" s="51">
        <v>0</v>
      </c>
      <c r="K250" s="50">
        <v>0</v>
      </c>
      <c r="L250" s="51">
        <v>0</v>
      </c>
      <c r="M250" s="50">
        <v>0</v>
      </c>
      <c r="N250" s="51">
        <v>0</v>
      </c>
      <c r="O250" s="50">
        <v>0</v>
      </c>
      <c r="P250" s="51">
        <v>0</v>
      </c>
    </row>
    <row r="251" spans="2:16" ht="37.5" customHeight="1" thickBot="1" x14ac:dyDescent="0.25">
      <c r="B251" s="632"/>
      <c r="C251" s="112" t="s">
        <v>404</v>
      </c>
      <c r="D251" s="106" t="s">
        <v>157</v>
      </c>
      <c r="E251" s="54">
        <v>0</v>
      </c>
      <c r="F251" s="55">
        <v>0</v>
      </c>
      <c r="G251" s="54">
        <v>0</v>
      </c>
      <c r="H251" s="55">
        <v>0</v>
      </c>
      <c r="I251" s="198">
        <v>0</v>
      </c>
      <c r="J251" s="55">
        <v>0</v>
      </c>
      <c r="K251" s="54">
        <v>0</v>
      </c>
      <c r="L251" s="55">
        <v>0</v>
      </c>
      <c r="M251" s="54">
        <v>0</v>
      </c>
      <c r="N251" s="55">
        <v>0</v>
      </c>
      <c r="O251" s="54">
        <v>0</v>
      </c>
      <c r="P251" s="55">
        <v>0</v>
      </c>
    </row>
    <row r="252" spans="2:16" ht="37.5" customHeight="1" x14ac:dyDescent="0.2">
      <c r="B252" s="603" t="s">
        <v>390</v>
      </c>
      <c r="C252" s="108" t="s">
        <v>405</v>
      </c>
      <c r="D252" s="557" t="s">
        <v>151</v>
      </c>
      <c r="E252" s="558">
        <v>925000</v>
      </c>
      <c r="F252" s="559">
        <v>1</v>
      </c>
      <c r="G252" s="558">
        <v>945000</v>
      </c>
      <c r="H252" s="559">
        <v>1</v>
      </c>
      <c r="I252" s="560">
        <v>43700000</v>
      </c>
      <c r="J252" s="559">
        <v>5</v>
      </c>
      <c r="K252" s="558">
        <v>234740000</v>
      </c>
      <c r="L252" s="559">
        <v>3</v>
      </c>
      <c r="M252" s="46">
        <v>0</v>
      </c>
      <c r="N252" s="47">
        <v>0</v>
      </c>
      <c r="O252" s="46">
        <v>0</v>
      </c>
      <c r="P252" s="47">
        <v>0</v>
      </c>
    </row>
    <row r="253" spans="2:16" ht="33" customHeight="1" x14ac:dyDescent="0.2">
      <c r="B253" s="605"/>
      <c r="C253" s="109" t="s">
        <v>406</v>
      </c>
      <c r="D253" s="65" t="s">
        <v>152</v>
      </c>
      <c r="E253" s="48">
        <v>0</v>
      </c>
      <c r="F253" s="49">
        <v>0</v>
      </c>
      <c r="G253" s="48">
        <v>0</v>
      </c>
      <c r="H253" s="49">
        <v>0</v>
      </c>
      <c r="I253" s="195">
        <v>0</v>
      </c>
      <c r="J253" s="49">
        <v>0</v>
      </c>
      <c r="K253" s="48">
        <v>0</v>
      </c>
      <c r="L253" s="49">
        <v>0</v>
      </c>
      <c r="M253" s="48">
        <v>0</v>
      </c>
      <c r="N253" s="49">
        <v>0</v>
      </c>
      <c r="O253" s="48">
        <v>0</v>
      </c>
      <c r="P253" s="49">
        <v>0</v>
      </c>
    </row>
    <row r="254" spans="2:16" ht="33" customHeight="1" x14ac:dyDescent="0.2">
      <c r="B254" s="605"/>
      <c r="C254" s="109" t="s">
        <v>407</v>
      </c>
      <c r="D254" s="65" t="s">
        <v>153</v>
      </c>
      <c r="E254" s="50">
        <v>0</v>
      </c>
      <c r="F254" s="51">
        <v>0</v>
      </c>
      <c r="G254" s="50">
        <v>0</v>
      </c>
      <c r="H254" s="51">
        <v>0</v>
      </c>
      <c r="I254" s="196">
        <v>0</v>
      </c>
      <c r="J254" s="51">
        <v>0</v>
      </c>
      <c r="K254" s="50">
        <v>0</v>
      </c>
      <c r="L254" s="51">
        <v>0</v>
      </c>
      <c r="M254" s="50">
        <v>0</v>
      </c>
      <c r="N254" s="51">
        <v>0</v>
      </c>
      <c r="O254" s="50">
        <v>0</v>
      </c>
      <c r="P254" s="51">
        <v>0</v>
      </c>
    </row>
    <row r="255" spans="2:16" ht="36" customHeight="1" x14ac:dyDescent="0.2">
      <c r="B255" s="605"/>
      <c r="C255" s="109" t="s">
        <v>408</v>
      </c>
      <c r="D255" s="65" t="s">
        <v>154</v>
      </c>
      <c r="E255" s="50">
        <v>0</v>
      </c>
      <c r="F255" s="51">
        <v>0</v>
      </c>
      <c r="G255" s="50">
        <v>0</v>
      </c>
      <c r="H255" s="51">
        <v>0</v>
      </c>
      <c r="I255" s="196">
        <v>0</v>
      </c>
      <c r="J255" s="51">
        <v>0</v>
      </c>
      <c r="K255" s="50">
        <v>0</v>
      </c>
      <c r="L255" s="51">
        <v>0</v>
      </c>
      <c r="M255" s="50">
        <v>0</v>
      </c>
      <c r="N255" s="51">
        <v>0</v>
      </c>
      <c r="O255" s="50">
        <v>0</v>
      </c>
      <c r="P255" s="51">
        <v>0</v>
      </c>
    </row>
    <row r="256" spans="2:16" ht="36" customHeight="1" x14ac:dyDescent="0.2">
      <c r="B256" s="605"/>
      <c r="C256" s="109" t="s">
        <v>409</v>
      </c>
      <c r="D256" s="65" t="s">
        <v>155</v>
      </c>
      <c r="E256" s="50">
        <v>0</v>
      </c>
      <c r="F256" s="51">
        <v>0</v>
      </c>
      <c r="G256" s="50">
        <v>0</v>
      </c>
      <c r="H256" s="51">
        <v>0</v>
      </c>
      <c r="I256" s="561">
        <v>28976441</v>
      </c>
      <c r="J256" s="562">
        <v>4</v>
      </c>
      <c r="K256" s="563">
        <v>2232056435</v>
      </c>
      <c r="L256" s="562">
        <v>35</v>
      </c>
      <c r="M256" s="563">
        <v>2393187832</v>
      </c>
      <c r="N256" s="562">
        <v>7</v>
      </c>
      <c r="O256" s="50">
        <v>0</v>
      </c>
      <c r="P256" s="51">
        <v>0</v>
      </c>
    </row>
    <row r="257" spans="2:16" ht="33" customHeight="1" x14ac:dyDescent="0.2">
      <c r="B257" s="605"/>
      <c r="C257" s="109" t="s">
        <v>410</v>
      </c>
      <c r="D257" s="65" t="s">
        <v>156</v>
      </c>
      <c r="E257" s="50">
        <v>0</v>
      </c>
      <c r="F257" s="51">
        <v>0</v>
      </c>
      <c r="G257" s="50">
        <v>0</v>
      </c>
      <c r="H257" s="51">
        <v>0</v>
      </c>
      <c r="I257" s="196">
        <v>0</v>
      </c>
      <c r="J257" s="51">
        <v>0</v>
      </c>
      <c r="K257" s="50">
        <v>0</v>
      </c>
      <c r="L257" s="51">
        <v>0</v>
      </c>
      <c r="M257" s="50">
        <v>0</v>
      </c>
      <c r="N257" s="51">
        <v>0</v>
      </c>
      <c r="O257" s="50">
        <v>0</v>
      </c>
      <c r="P257" s="51">
        <v>0</v>
      </c>
    </row>
    <row r="258" spans="2:16" ht="33.75" customHeight="1" x14ac:dyDescent="0.2">
      <c r="B258" s="605"/>
      <c r="C258" s="109" t="s">
        <v>411</v>
      </c>
      <c r="D258" s="133" t="s">
        <v>157</v>
      </c>
      <c r="E258" s="52">
        <v>0</v>
      </c>
      <c r="F258" s="53">
        <v>0</v>
      </c>
      <c r="G258" s="52">
        <v>0</v>
      </c>
      <c r="H258" s="53">
        <v>0</v>
      </c>
      <c r="I258" s="197">
        <v>0</v>
      </c>
      <c r="J258" s="53">
        <v>0</v>
      </c>
      <c r="K258" s="52">
        <v>0</v>
      </c>
      <c r="L258" s="53">
        <v>0</v>
      </c>
      <c r="M258" s="52">
        <v>0</v>
      </c>
      <c r="N258" s="53">
        <v>0</v>
      </c>
      <c r="O258" s="52">
        <v>0</v>
      </c>
      <c r="P258" s="53">
        <v>0</v>
      </c>
    </row>
    <row r="259" spans="2:16" ht="33.75" customHeight="1" thickBot="1" x14ac:dyDescent="0.25">
      <c r="B259" s="607"/>
      <c r="C259" s="110" t="s">
        <v>412</v>
      </c>
      <c r="D259" s="132" t="s">
        <v>158</v>
      </c>
      <c r="E259" s="125">
        <v>0</v>
      </c>
      <c r="F259" s="56">
        <v>0</v>
      </c>
      <c r="G259" s="125">
        <v>0</v>
      </c>
      <c r="H259" s="56">
        <v>0</v>
      </c>
      <c r="I259" s="199">
        <v>0</v>
      </c>
      <c r="J259" s="56">
        <v>0</v>
      </c>
      <c r="K259" s="125">
        <v>0</v>
      </c>
      <c r="L259" s="56">
        <v>0</v>
      </c>
      <c r="M259" s="125">
        <v>0</v>
      </c>
      <c r="N259" s="56">
        <v>0</v>
      </c>
      <c r="O259" s="125">
        <v>0</v>
      </c>
      <c r="P259" s="56">
        <v>0</v>
      </c>
    </row>
    <row r="260" spans="2:16" ht="33.75" customHeight="1" thickBot="1" x14ac:dyDescent="0.25">
      <c r="B260" s="305"/>
      <c r="C260" s="323"/>
      <c r="D260" s="323"/>
      <c r="E260" s="324"/>
      <c r="F260" s="324"/>
      <c r="G260" s="324"/>
      <c r="H260" s="324"/>
      <c r="I260" s="325"/>
      <c r="J260" s="324"/>
      <c r="K260" s="324"/>
      <c r="L260" s="324"/>
      <c r="M260" s="324"/>
      <c r="N260" s="324"/>
      <c r="O260" s="324"/>
      <c r="P260" s="324"/>
    </row>
    <row r="261" spans="2:16" ht="39" customHeight="1" thickBot="1" x14ac:dyDescent="0.25">
      <c r="B261" s="603" t="s">
        <v>387</v>
      </c>
      <c r="C261" s="604"/>
      <c r="D261" s="126" t="s">
        <v>159</v>
      </c>
      <c r="E261" s="57"/>
      <c r="F261" s="57"/>
      <c r="G261" s="57"/>
      <c r="H261" s="57"/>
      <c r="I261" s="57"/>
      <c r="J261" s="191"/>
      <c r="K261" s="57"/>
      <c r="L261" s="57"/>
      <c r="M261" s="57"/>
      <c r="N261" s="57"/>
      <c r="O261" s="57"/>
      <c r="P261" s="58"/>
    </row>
    <row r="262" spans="2:16" ht="39" customHeight="1" thickBot="1" x14ac:dyDescent="0.25">
      <c r="B262" s="605"/>
      <c r="C262" s="606"/>
      <c r="D262" s="126" t="s">
        <v>612</v>
      </c>
      <c r="E262" s="57"/>
      <c r="F262" s="57"/>
      <c r="G262" s="57"/>
      <c r="H262" s="57"/>
      <c r="I262" s="57"/>
      <c r="J262" s="191"/>
      <c r="K262" s="57"/>
      <c r="L262" s="57"/>
      <c r="M262" s="57"/>
      <c r="N262" s="57"/>
      <c r="O262" s="57"/>
      <c r="P262" s="58"/>
    </row>
    <row r="263" spans="2:16" ht="39" customHeight="1" thickBot="1" x14ac:dyDescent="0.25">
      <c r="B263" s="605"/>
      <c r="C263" s="606"/>
      <c r="D263" s="126" t="s">
        <v>676</v>
      </c>
      <c r="E263" s="127"/>
      <c r="F263" s="127"/>
      <c r="G263" s="127"/>
      <c r="H263" s="127"/>
      <c r="I263" s="127"/>
      <c r="J263" s="192"/>
      <c r="K263" s="127"/>
      <c r="L263" s="127"/>
      <c r="M263" s="127"/>
      <c r="N263" s="127"/>
      <c r="O263" s="127"/>
      <c r="P263" s="128"/>
    </row>
    <row r="264" spans="2:16" ht="39" customHeight="1" thickBot="1" x14ac:dyDescent="0.25">
      <c r="B264" s="605"/>
      <c r="C264" s="606"/>
      <c r="D264" s="126" t="s">
        <v>674</v>
      </c>
      <c r="E264" s="127"/>
      <c r="F264" s="127"/>
      <c r="G264" s="127"/>
      <c r="H264" s="127"/>
      <c r="I264" s="127"/>
      <c r="J264" s="192"/>
      <c r="K264" s="127"/>
      <c r="L264" s="127"/>
      <c r="M264" s="127"/>
      <c r="N264" s="127"/>
      <c r="O264" s="127"/>
      <c r="P264" s="128"/>
    </row>
    <row r="265" spans="2:16" ht="39" customHeight="1" thickBot="1" x14ac:dyDescent="0.25">
      <c r="B265" s="605"/>
      <c r="C265" s="606"/>
      <c r="D265" s="633" t="s">
        <v>135</v>
      </c>
      <c r="E265" s="611" t="s">
        <v>686</v>
      </c>
      <c r="F265" s="612"/>
      <c r="G265" s="611" t="s">
        <v>687</v>
      </c>
      <c r="H265" s="612"/>
      <c r="I265" s="611" t="s">
        <v>688</v>
      </c>
      <c r="J265" s="612"/>
      <c r="K265" s="611" t="s">
        <v>689</v>
      </c>
      <c r="L265" s="612"/>
      <c r="M265" s="611" t="s">
        <v>690</v>
      </c>
      <c r="N265" s="612"/>
      <c r="O265" s="611" t="s">
        <v>691</v>
      </c>
      <c r="P265" s="612"/>
    </row>
    <row r="266" spans="2:16" ht="39" customHeight="1" thickBot="1" x14ac:dyDescent="0.25">
      <c r="B266" s="607"/>
      <c r="C266" s="608"/>
      <c r="D266" s="634"/>
      <c r="E266" s="61" t="s">
        <v>149</v>
      </c>
      <c r="F266" s="62" t="s">
        <v>150</v>
      </c>
      <c r="G266" s="61" t="s">
        <v>149</v>
      </c>
      <c r="H266" s="62" t="s">
        <v>150</v>
      </c>
      <c r="I266" s="318" t="s">
        <v>149</v>
      </c>
      <c r="J266" s="62" t="s">
        <v>150</v>
      </c>
      <c r="K266" s="61" t="s">
        <v>149</v>
      </c>
      <c r="L266" s="62" t="s">
        <v>150</v>
      </c>
      <c r="M266" s="61" t="s">
        <v>149</v>
      </c>
      <c r="N266" s="62" t="s">
        <v>150</v>
      </c>
      <c r="O266" s="61" t="s">
        <v>149</v>
      </c>
      <c r="P266" s="62" t="s">
        <v>150</v>
      </c>
    </row>
    <row r="267" spans="2:16" ht="39" customHeight="1" x14ac:dyDescent="0.2">
      <c r="B267" s="603" t="s">
        <v>388</v>
      </c>
      <c r="C267" s="108" t="s">
        <v>391</v>
      </c>
      <c r="D267" s="135" t="s">
        <v>151</v>
      </c>
      <c r="E267" s="46">
        <v>0</v>
      </c>
      <c r="F267" s="47">
        <v>0</v>
      </c>
      <c r="G267" s="46">
        <v>713805</v>
      </c>
      <c r="H267" s="47">
        <v>16</v>
      </c>
      <c r="I267" s="46">
        <v>106016450</v>
      </c>
      <c r="J267" s="47">
        <v>13</v>
      </c>
      <c r="K267" s="46">
        <v>214630580</v>
      </c>
      <c r="L267" s="47">
        <v>4</v>
      </c>
      <c r="M267" s="46">
        <v>0</v>
      </c>
      <c r="N267" s="47">
        <v>0</v>
      </c>
      <c r="O267" s="46">
        <v>0</v>
      </c>
      <c r="P267" s="47">
        <v>0</v>
      </c>
    </row>
    <row r="268" spans="2:16" ht="36" customHeight="1" x14ac:dyDescent="0.2">
      <c r="B268" s="605"/>
      <c r="C268" s="109" t="s">
        <v>392</v>
      </c>
      <c r="D268" s="133" t="s">
        <v>152</v>
      </c>
      <c r="E268" s="48">
        <v>0</v>
      </c>
      <c r="F268" s="49">
        <v>0</v>
      </c>
      <c r="G268" s="48">
        <v>1122</v>
      </c>
      <c r="H268" s="49">
        <v>1</v>
      </c>
      <c r="I268" s="195">
        <v>0</v>
      </c>
      <c r="J268" s="49">
        <v>0</v>
      </c>
      <c r="K268" s="48">
        <v>0</v>
      </c>
      <c r="L268" s="49">
        <v>0</v>
      </c>
      <c r="M268" s="48">
        <v>0</v>
      </c>
      <c r="N268" s="49">
        <v>0</v>
      </c>
      <c r="O268" s="48">
        <v>0</v>
      </c>
      <c r="P268" s="49">
        <v>0</v>
      </c>
    </row>
    <row r="269" spans="2:16" ht="36" customHeight="1" x14ac:dyDescent="0.2">
      <c r="B269" s="605"/>
      <c r="C269" s="109" t="s">
        <v>393</v>
      </c>
      <c r="D269" s="133" t="s">
        <v>153</v>
      </c>
      <c r="E269" s="50">
        <v>0</v>
      </c>
      <c r="F269" s="51">
        <v>0</v>
      </c>
      <c r="G269" s="50">
        <v>0</v>
      </c>
      <c r="H269" s="51">
        <v>0</v>
      </c>
      <c r="I269" s="196">
        <v>0</v>
      </c>
      <c r="J269" s="51">
        <v>0</v>
      </c>
      <c r="K269" s="50">
        <v>0</v>
      </c>
      <c r="L269" s="51">
        <v>0</v>
      </c>
      <c r="M269" s="50">
        <v>0</v>
      </c>
      <c r="N269" s="51">
        <v>0</v>
      </c>
      <c r="O269" s="50">
        <v>0</v>
      </c>
      <c r="P269" s="51">
        <v>0</v>
      </c>
    </row>
    <row r="270" spans="2:16" ht="35.25" customHeight="1" x14ac:dyDescent="0.2">
      <c r="B270" s="605"/>
      <c r="C270" s="109" t="s">
        <v>394</v>
      </c>
      <c r="D270" s="133" t="s">
        <v>154</v>
      </c>
      <c r="E270" s="50">
        <v>0</v>
      </c>
      <c r="F270" s="51">
        <v>0</v>
      </c>
      <c r="G270" s="50">
        <v>291470</v>
      </c>
      <c r="H270" s="51">
        <v>6</v>
      </c>
      <c r="I270" s="196">
        <v>0</v>
      </c>
      <c r="J270" s="51">
        <v>0</v>
      </c>
      <c r="K270" s="50">
        <v>0</v>
      </c>
      <c r="L270" s="51">
        <v>0</v>
      </c>
      <c r="M270" s="50">
        <v>0</v>
      </c>
      <c r="N270" s="51">
        <v>0</v>
      </c>
      <c r="O270" s="50">
        <v>0</v>
      </c>
      <c r="P270" s="51">
        <v>0</v>
      </c>
    </row>
    <row r="271" spans="2:16" ht="32.25" customHeight="1" x14ac:dyDescent="0.2">
      <c r="B271" s="605"/>
      <c r="C271" s="109" t="s">
        <v>395</v>
      </c>
      <c r="D271" s="133" t="s">
        <v>155</v>
      </c>
      <c r="E271" s="50">
        <v>0</v>
      </c>
      <c r="F271" s="51">
        <v>0</v>
      </c>
      <c r="G271" s="50">
        <v>0</v>
      </c>
      <c r="H271" s="51">
        <v>0</v>
      </c>
      <c r="I271" s="196">
        <v>0</v>
      </c>
      <c r="J271" s="51">
        <v>0</v>
      </c>
      <c r="K271" s="50">
        <v>0</v>
      </c>
      <c r="L271" s="51">
        <v>0</v>
      </c>
      <c r="M271" s="50">
        <v>0</v>
      </c>
      <c r="N271" s="51">
        <v>0</v>
      </c>
      <c r="O271" s="50">
        <v>0</v>
      </c>
      <c r="P271" s="51">
        <v>0</v>
      </c>
    </row>
    <row r="272" spans="2:16" ht="32.25" customHeight="1" x14ac:dyDescent="0.2">
      <c r="B272" s="605"/>
      <c r="C272" s="109" t="s">
        <v>396</v>
      </c>
      <c r="D272" s="133" t="s">
        <v>156</v>
      </c>
      <c r="E272" s="50">
        <v>0</v>
      </c>
      <c r="F272" s="51">
        <v>0</v>
      </c>
      <c r="G272" s="50">
        <v>0</v>
      </c>
      <c r="H272" s="51">
        <v>0</v>
      </c>
      <c r="I272" s="196">
        <v>0</v>
      </c>
      <c r="J272" s="51">
        <v>0</v>
      </c>
      <c r="K272" s="50">
        <v>0</v>
      </c>
      <c r="L272" s="51">
        <v>0</v>
      </c>
      <c r="M272" s="50">
        <v>0</v>
      </c>
      <c r="N272" s="51">
        <v>0</v>
      </c>
      <c r="O272" s="50">
        <v>0</v>
      </c>
      <c r="P272" s="51">
        <v>0</v>
      </c>
    </row>
    <row r="273" spans="2:16" ht="36.75" customHeight="1" thickBot="1" x14ac:dyDescent="0.25">
      <c r="B273" s="607"/>
      <c r="C273" s="110" t="s">
        <v>397</v>
      </c>
      <c r="D273" s="132" t="s">
        <v>157</v>
      </c>
      <c r="E273" s="54">
        <v>0</v>
      </c>
      <c r="F273" s="55">
        <v>0</v>
      </c>
      <c r="G273" s="54">
        <v>0</v>
      </c>
      <c r="H273" s="55">
        <v>0</v>
      </c>
      <c r="I273" s="198">
        <v>0</v>
      </c>
      <c r="J273" s="55">
        <v>0</v>
      </c>
      <c r="K273" s="54">
        <v>0</v>
      </c>
      <c r="L273" s="55">
        <v>0</v>
      </c>
      <c r="M273" s="54">
        <v>0</v>
      </c>
      <c r="N273" s="55">
        <v>0</v>
      </c>
      <c r="O273" s="54">
        <v>0</v>
      </c>
      <c r="P273" s="55">
        <v>0</v>
      </c>
    </row>
    <row r="274" spans="2:16" ht="36.75" customHeight="1" x14ac:dyDescent="0.2">
      <c r="B274" s="630" t="s">
        <v>389</v>
      </c>
      <c r="C274" s="111" t="s">
        <v>398</v>
      </c>
      <c r="D274" s="63" t="s">
        <v>151</v>
      </c>
      <c r="E274" s="46">
        <v>0</v>
      </c>
      <c r="F274" s="47">
        <v>0</v>
      </c>
      <c r="G274" s="46">
        <v>0</v>
      </c>
      <c r="H274" s="47">
        <v>0</v>
      </c>
      <c r="I274" s="194">
        <v>0</v>
      </c>
      <c r="J274" s="47">
        <v>0</v>
      </c>
      <c r="K274" s="46">
        <v>0</v>
      </c>
      <c r="L274" s="47">
        <v>0</v>
      </c>
      <c r="M274" s="46">
        <v>0</v>
      </c>
      <c r="N274" s="47">
        <v>0</v>
      </c>
      <c r="O274" s="46">
        <v>0</v>
      </c>
      <c r="P274" s="47">
        <v>0</v>
      </c>
    </row>
    <row r="275" spans="2:16" ht="36.75" customHeight="1" x14ac:dyDescent="0.2">
      <c r="B275" s="631"/>
      <c r="C275" s="111" t="s">
        <v>399</v>
      </c>
      <c r="D275" s="63" t="s">
        <v>152</v>
      </c>
      <c r="E275" s="48">
        <v>0</v>
      </c>
      <c r="F275" s="49">
        <v>0</v>
      </c>
      <c r="G275" s="48">
        <v>0</v>
      </c>
      <c r="H275" s="49">
        <v>0</v>
      </c>
      <c r="I275" s="195">
        <v>0</v>
      </c>
      <c r="J275" s="49">
        <v>0</v>
      </c>
      <c r="K275" s="48">
        <v>0</v>
      </c>
      <c r="L275" s="49">
        <v>0</v>
      </c>
      <c r="M275" s="48">
        <v>0</v>
      </c>
      <c r="N275" s="49">
        <v>0</v>
      </c>
      <c r="O275" s="48">
        <v>0</v>
      </c>
      <c r="P275" s="49">
        <v>0</v>
      </c>
    </row>
    <row r="276" spans="2:16" ht="36.75" customHeight="1" x14ac:dyDescent="0.2">
      <c r="B276" s="631"/>
      <c r="C276" s="111" t="s">
        <v>400</v>
      </c>
      <c r="D276" s="63" t="s">
        <v>153</v>
      </c>
      <c r="E276" s="50">
        <v>0</v>
      </c>
      <c r="F276" s="51">
        <v>0</v>
      </c>
      <c r="G276" s="50">
        <v>0</v>
      </c>
      <c r="H276" s="51">
        <v>0</v>
      </c>
      <c r="I276" s="196">
        <v>0</v>
      </c>
      <c r="J276" s="51">
        <v>0</v>
      </c>
      <c r="K276" s="50">
        <v>0</v>
      </c>
      <c r="L276" s="51">
        <v>0</v>
      </c>
      <c r="M276" s="50">
        <v>0</v>
      </c>
      <c r="N276" s="51">
        <v>0</v>
      </c>
      <c r="O276" s="50">
        <v>0</v>
      </c>
      <c r="P276" s="51">
        <v>0</v>
      </c>
    </row>
    <row r="277" spans="2:16" ht="44.25" customHeight="1" x14ac:dyDescent="0.2">
      <c r="B277" s="631"/>
      <c r="C277" s="111" t="s">
        <v>401</v>
      </c>
      <c r="D277" s="63" t="s">
        <v>154</v>
      </c>
      <c r="E277" s="50">
        <v>0</v>
      </c>
      <c r="F277" s="51">
        <v>0</v>
      </c>
      <c r="G277" s="50">
        <v>0</v>
      </c>
      <c r="H277" s="51">
        <v>0</v>
      </c>
      <c r="I277" s="196">
        <v>0</v>
      </c>
      <c r="J277" s="51">
        <v>0</v>
      </c>
      <c r="K277" s="50">
        <v>0</v>
      </c>
      <c r="L277" s="51">
        <v>0</v>
      </c>
      <c r="M277" s="50">
        <v>0</v>
      </c>
      <c r="N277" s="51">
        <v>0</v>
      </c>
      <c r="O277" s="50">
        <v>0</v>
      </c>
      <c r="P277" s="51">
        <v>0</v>
      </c>
    </row>
    <row r="278" spans="2:16" ht="37.5" customHeight="1" x14ac:dyDescent="0.2">
      <c r="B278" s="631"/>
      <c r="C278" s="111" t="s">
        <v>402</v>
      </c>
      <c r="D278" s="63" t="s">
        <v>155</v>
      </c>
      <c r="E278" s="50">
        <v>0</v>
      </c>
      <c r="F278" s="51">
        <v>0</v>
      </c>
      <c r="G278" s="50">
        <v>0</v>
      </c>
      <c r="H278" s="51">
        <v>0</v>
      </c>
      <c r="I278" s="196">
        <v>0</v>
      </c>
      <c r="J278" s="51">
        <v>0</v>
      </c>
      <c r="K278" s="50">
        <v>0</v>
      </c>
      <c r="L278" s="51">
        <v>0</v>
      </c>
      <c r="M278" s="50">
        <v>0</v>
      </c>
      <c r="N278" s="51">
        <v>0</v>
      </c>
      <c r="O278" s="50">
        <v>0</v>
      </c>
      <c r="P278" s="51">
        <v>0</v>
      </c>
    </row>
    <row r="279" spans="2:16" ht="37.5" customHeight="1" x14ac:dyDescent="0.2">
      <c r="B279" s="631"/>
      <c r="C279" s="111" t="s">
        <v>403</v>
      </c>
      <c r="D279" s="63" t="s">
        <v>156</v>
      </c>
      <c r="E279" s="50">
        <v>0</v>
      </c>
      <c r="F279" s="51">
        <v>0</v>
      </c>
      <c r="G279" s="50">
        <v>0</v>
      </c>
      <c r="H279" s="51">
        <v>0</v>
      </c>
      <c r="I279" s="196">
        <v>0</v>
      </c>
      <c r="J279" s="51">
        <v>0</v>
      </c>
      <c r="K279" s="50">
        <v>0</v>
      </c>
      <c r="L279" s="51">
        <v>0</v>
      </c>
      <c r="M279" s="50">
        <v>0</v>
      </c>
      <c r="N279" s="51">
        <v>0</v>
      </c>
      <c r="O279" s="50">
        <v>0</v>
      </c>
      <c r="P279" s="51">
        <v>0</v>
      </c>
    </row>
    <row r="280" spans="2:16" ht="37.5" customHeight="1" thickBot="1" x14ac:dyDescent="0.25">
      <c r="B280" s="632"/>
      <c r="C280" s="112" t="s">
        <v>404</v>
      </c>
      <c r="D280" s="106" t="s">
        <v>157</v>
      </c>
      <c r="E280" s="54">
        <v>0</v>
      </c>
      <c r="F280" s="55">
        <v>0</v>
      </c>
      <c r="G280" s="54">
        <v>0</v>
      </c>
      <c r="H280" s="55">
        <v>0</v>
      </c>
      <c r="I280" s="198">
        <v>0</v>
      </c>
      <c r="J280" s="55">
        <v>0</v>
      </c>
      <c r="K280" s="54">
        <v>0</v>
      </c>
      <c r="L280" s="55">
        <v>0</v>
      </c>
      <c r="M280" s="54">
        <v>0</v>
      </c>
      <c r="N280" s="55">
        <v>0</v>
      </c>
      <c r="O280" s="54">
        <v>0</v>
      </c>
      <c r="P280" s="55">
        <v>0</v>
      </c>
    </row>
    <row r="281" spans="2:16" ht="37.5" customHeight="1" x14ac:dyDescent="0.2">
      <c r="B281" s="603" t="s">
        <v>390</v>
      </c>
      <c r="C281" s="108" t="s">
        <v>405</v>
      </c>
      <c r="D281" s="135" t="s">
        <v>151</v>
      </c>
      <c r="E281" s="46">
        <v>0</v>
      </c>
      <c r="F281" s="47">
        <v>0</v>
      </c>
      <c r="G281" s="46">
        <v>0</v>
      </c>
      <c r="H281" s="47">
        <v>0</v>
      </c>
      <c r="I281" s="194">
        <v>0</v>
      </c>
      <c r="J281" s="47">
        <v>0</v>
      </c>
      <c r="K281" s="46">
        <v>0</v>
      </c>
      <c r="L281" s="47">
        <v>0</v>
      </c>
      <c r="M281" s="46">
        <v>0</v>
      </c>
      <c r="N281" s="47">
        <v>0</v>
      </c>
      <c r="O281" s="46">
        <v>0</v>
      </c>
      <c r="P281" s="47">
        <v>0</v>
      </c>
    </row>
    <row r="282" spans="2:16" ht="33" customHeight="1" x14ac:dyDescent="0.2">
      <c r="B282" s="605"/>
      <c r="C282" s="109" t="s">
        <v>406</v>
      </c>
      <c r="D282" s="65" t="s">
        <v>152</v>
      </c>
      <c r="E282" s="48">
        <v>0</v>
      </c>
      <c r="F282" s="49">
        <v>0</v>
      </c>
      <c r="G282" s="48">
        <v>0</v>
      </c>
      <c r="H282" s="49">
        <v>0</v>
      </c>
      <c r="I282" s="195">
        <v>0</v>
      </c>
      <c r="J282" s="49">
        <v>0</v>
      </c>
      <c r="K282" s="48">
        <v>0</v>
      </c>
      <c r="L282" s="49">
        <v>0</v>
      </c>
      <c r="M282" s="48">
        <v>0</v>
      </c>
      <c r="N282" s="49">
        <v>0</v>
      </c>
      <c r="O282" s="48">
        <v>0</v>
      </c>
      <c r="P282" s="49">
        <v>0</v>
      </c>
    </row>
    <row r="283" spans="2:16" ht="33" customHeight="1" x14ac:dyDescent="0.2">
      <c r="B283" s="605"/>
      <c r="C283" s="109" t="s">
        <v>407</v>
      </c>
      <c r="D283" s="65" t="s">
        <v>153</v>
      </c>
      <c r="E283" s="50">
        <v>0</v>
      </c>
      <c r="F283" s="51">
        <v>0</v>
      </c>
      <c r="G283" s="50">
        <v>0</v>
      </c>
      <c r="H283" s="51">
        <v>0</v>
      </c>
      <c r="I283" s="196">
        <v>0</v>
      </c>
      <c r="J283" s="51">
        <v>0</v>
      </c>
      <c r="K283" s="50">
        <v>0</v>
      </c>
      <c r="L283" s="51">
        <v>0</v>
      </c>
      <c r="M283" s="50">
        <v>0</v>
      </c>
      <c r="N283" s="51">
        <v>0</v>
      </c>
      <c r="O283" s="50">
        <v>0</v>
      </c>
      <c r="P283" s="51">
        <v>0</v>
      </c>
    </row>
    <row r="284" spans="2:16" ht="36" customHeight="1" x14ac:dyDescent="0.2">
      <c r="B284" s="605"/>
      <c r="C284" s="109" t="s">
        <v>408</v>
      </c>
      <c r="D284" s="65" t="s">
        <v>154</v>
      </c>
      <c r="E284" s="50">
        <v>0</v>
      </c>
      <c r="F284" s="51">
        <v>0</v>
      </c>
      <c r="G284" s="50">
        <v>0</v>
      </c>
      <c r="H284" s="51">
        <v>0</v>
      </c>
      <c r="I284" s="196">
        <v>0</v>
      </c>
      <c r="J284" s="51">
        <v>0</v>
      </c>
      <c r="K284" s="50">
        <v>0</v>
      </c>
      <c r="L284" s="51">
        <v>0</v>
      </c>
      <c r="M284" s="50">
        <v>128535011</v>
      </c>
      <c r="N284" s="51">
        <v>1</v>
      </c>
      <c r="O284" s="50">
        <v>0</v>
      </c>
      <c r="P284" s="51">
        <v>0</v>
      </c>
    </row>
    <row r="285" spans="2:16" ht="36" customHeight="1" x14ac:dyDescent="0.2">
      <c r="B285" s="605"/>
      <c r="C285" s="109" t="s">
        <v>409</v>
      </c>
      <c r="D285" s="65" t="s">
        <v>155</v>
      </c>
      <c r="E285" s="50">
        <v>0</v>
      </c>
      <c r="F285" s="51">
        <v>0</v>
      </c>
      <c r="G285" s="50">
        <v>0</v>
      </c>
      <c r="H285" s="51">
        <v>0</v>
      </c>
      <c r="I285" s="196">
        <v>0</v>
      </c>
      <c r="J285" s="51">
        <v>0</v>
      </c>
      <c r="K285" s="50">
        <v>0</v>
      </c>
      <c r="L285" s="51">
        <v>0</v>
      </c>
      <c r="M285" s="50">
        <v>3120800345</v>
      </c>
      <c r="N285" s="51">
        <v>8</v>
      </c>
      <c r="O285" s="50">
        <v>0</v>
      </c>
      <c r="P285" s="51">
        <v>0</v>
      </c>
    </row>
    <row r="286" spans="2:16" ht="33" customHeight="1" x14ac:dyDescent="0.2">
      <c r="B286" s="605"/>
      <c r="C286" s="109" t="s">
        <v>410</v>
      </c>
      <c r="D286" s="65" t="s">
        <v>156</v>
      </c>
      <c r="E286" s="50">
        <v>0</v>
      </c>
      <c r="F286" s="51">
        <v>0</v>
      </c>
      <c r="G286" s="50">
        <v>0</v>
      </c>
      <c r="H286" s="51">
        <v>0</v>
      </c>
      <c r="I286" s="196">
        <v>0</v>
      </c>
      <c r="J286" s="51">
        <v>0</v>
      </c>
      <c r="K286" s="50">
        <v>18005210</v>
      </c>
      <c r="L286" s="51">
        <v>1</v>
      </c>
      <c r="M286" s="50">
        <v>0</v>
      </c>
      <c r="N286" s="51">
        <v>0</v>
      </c>
      <c r="O286" s="50">
        <v>0</v>
      </c>
      <c r="P286" s="51">
        <v>0</v>
      </c>
    </row>
    <row r="287" spans="2:16" ht="33.75" customHeight="1" x14ac:dyDescent="0.2">
      <c r="B287" s="605"/>
      <c r="C287" s="109" t="s">
        <v>411</v>
      </c>
      <c r="D287" s="133" t="s">
        <v>157</v>
      </c>
      <c r="E287" s="52">
        <v>0</v>
      </c>
      <c r="F287" s="53">
        <v>0</v>
      </c>
      <c r="G287" s="52">
        <v>0</v>
      </c>
      <c r="H287" s="53">
        <v>0</v>
      </c>
      <c r="I287" s="197">
        <v>0</v>
      </c>
      <c r="J287" s="53">
        <v>0</v>
      </c>
      <c r="K287" s="52">
        <v>0</v>
      </c>
      <c r="L287" s="53">
        <v>0</v>
      </c>
      <c r="M287" s="52">
        <v>0</v>
      </c>
      <c r="N287" s="53">
        <v>0</v>
      </c>
      <c r="O287" s="52">
        <v>0</v>
      </c>
      <c r="P287" s="53">
        <v>0</v>
      </c>
    </row>
    <row r="288" spans="2:16" ht="33.75" customHeight="1" thickBot="1" x14ac:dyDescent="0.25">
      <c r="B288" s="607"/>
      <c r="C288" s="110" t="s">
        <v>412</v>
      </c>
      <c r="D288" s="132" t="s">
        <v>158</v>
      </c>
      <c r="E288" s="125">
        <v>0</v>
      </c>
      <c r="F288" s="56">
        <v>0</v>
      </c>
      <c r="G288" s="125">
        <v>0</v>
      </c>
      <c r="H288" s="56">
        <v>0</v>
      </c>
      <c r="I288" s="199">
        <v>0</v>
      </c>
      <c r="J288" s="56">
        <v>0</v>
      </c>
      <c r="K288" s="125">
        <v>0</v>
      </c>
      <c r="L288" s="56">
        <v>0</v>
      </c>
      <c r="M288" s="125">
        <v>0</v>
      </c>
      <c r="N288" s="56">
        <v>0</v>
      </c>
      <c r="O288" s="125">
        <v>0</v>
      </c>
      <c r="P288" s="56">
        <v>0</v>
      </c>
    </row>
    <row r="289" spans="2:21" ht="33.75" customHeight="1" x14ac:dyDescent="0.2">
      <c r="B289" s="305"/>
      <c r="C289" s="323"/>
      <c r="D289" s="323"/>
      <c r="E289" s="324"/>
      <c r="F289" s="324"/>
      <c r="G289" s="324"/>
      <c r="H289" s="324"/>
      <c r="I289" s="325"/>
      <c r="J289" s="324"/>
      <c r="K289" s="324"/>
      <c r="L289" s="324"/>
      <c r="M289" s="324"/>
      <c r="N289" s="324"/>
      <c r="O289" s="324"/>
      <c r="P289" s="324"/>
    </row>
    <row r="290" spans="2:21" ht="33.75" customHeight="1" thickBot="1" x14ac:dyDescent="0.25"/>
    <row r="291" spans="2:21" ht="33.75" customHeight="1" x14ac:dyDescent="0.2">
      <c r="B291" s="98" t="s">
        <v>413</v>
      </c>
      <c r="C291" s="643" t="s">
        <v>161</v>
      </c>
      <c r="D291" s="644"/>
      <c r="E291" s="645" t="s">
        <v>162</v>
      </c>
      <c r="F291" s="646"/>
      <c r="G291" s="685" t="s">
        <v>163</v>
      </c>
      <c r="H291" s="686"/>
      <c r="I291" s="200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</row>
    <row r="292" spans="2:21" ht="33.75" customHeight="1" x14ac:dyDescent="0.2">
      <c r="B292" s="99" t="s">
        <v>414</v>
      </c>
      <c r="C292" s="647" t="s">
        <v>164</v>
      </c>
      <c r="D292" s="648"/>
      <c r="E292" s="649">
        <v>126050881</v>
      </c>
      <c r="F292" s="650"/>
      <c r="G292" s="687">
        <v>123200881</v>
      </c>
      <c r="H292" s="688"/>
      <c r="I292" s="200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</row>
    <row r="293" spans="2:21" ht="33.75" customHeight="1" thickBot="1" x14ac:dyDescent="0.25">
      <c r="B293" s="100" t="s">
        <v>415</v>
      </c>
      <c r="C293" s="635" t="s">
        <v>165</v>
      </c>
      <c r="D293" s="636"/>
      <c r="E293" s="637">
        <v>625056770</v>
      </c>
      <c r="F293" s="638"/>
      <c r="G293" s="689">
        <v>214997600</v>
      </c>
      <c r="H293" s="690"/>
      <c r="I293" s="200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</row>
    <row r="294" spans="2:21" ht="33.75" customHeight="1" thickBot="1" x14ac:dyDescent="0.25">
      <c r="B294" s="67"/>
      <c r="C294" s="67"/>
      <c r="D294" s="66"/>
      <c r="E294" s="66"/>
      <c r="F294" s="66"/>
      <c r="G294" s="66"/>
      <c r="H294" s="66"/>
      <c r="I294" s="66"/>
      <c r="J294" s="200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</row>
    <row r="295" spans="2:21" ht="33.75" customHeight="1" thickBot="1" x14ac:dyDescent="0.25">
      <c r="B295" s="630" t="s">
        <v>416</v>
      </c>
      <c r="C295" s="119" t="s">
        <v>166</v>
      </c>
      <c r="D295" s="82"/>
      <c r="E295" s="82"/>
      <c r="F295" s="83"/>
      <c r="G295" s="66"/>
      <c r="H295" s="66"/>
      <c r="I295" s="66"/>
      <c r="J295" s="200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</row>
    <row r="296" spans="2:21" ht="33.75" customHeight="1" thickBot="1" x14ac:dyDescent="0.25">
      <c r="B296" s="631"/>
      <c r="C296" s="668" t="s">
        <v>612</v>
      </c>
      <c r="D296" s="669"/>
      <c r="E296" s="669"/>
      <c r="F296" s="670"/>
      <c r="G296" s="66"/>
      <c r="H296" s="66"/>
      <c r="I296" s="66"/>
      <c r="J296" s="200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</row>
    <row r="297" spans="2:21" ht="33.75" customHeight="1" thickBot="1" x14ac:dyDescent="0.25">
      <c r="B297" s="631"/>
      <c r="C297" s="119" t="s">
        <v>134</v>
      </c>
      <c r="D297" s="82"/>
      <c r="E297" s="82"/>
      <c r="F297" s="83"/>
      <c r="G297" s="66"/>
      <c r="H297" s="66"/>
      <c r="I297" s="66"/>
      <c r="J297" s="200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</row>
    <row r="298" spans="2:21" ht="33.75" customHeight="1" thickBot="1" x14ac:dyDescent="0.25">
      <c r="B298" s="631"/>
      <c r="C298" s="119" t="s">
        <v>677</v>
      </c>
      <c r="D298" s="82"/>
      <c r="E298" s="82"/>
      <c r="F298" s="83"/>
      <c r="G298" s="66"/>
      <c r="H298" s="66"/>
      <c r="I298" s="66"/>
      <c r="J298" s="200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</row>
    <row r="299" spans="2:21" ht="39.75" customHeight="1" thickBot="1" x14ac:dyDescent="0.25">
      <c r="B299" s="632"/>
      <c r="C299" s="639" t="s">
        <v>135</v>
      </c>
      <c r="D299" s="640"/>
      <c r="E299" s="84" t="s">
        <v>149</v>
      </c>
      <c r="F299" s="85" t="s">
        <v>150</v>
      </c>
      <c r="G299" s="66"/>
      <c r="H299" s="66"/>
      <c r="I299" s="66"/>
      <c r="J299" s="200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</row>
    <row r="300" spans="2:21" ht="39.75" customHeight="1" x14ac:dyDescent="0.2">
      <c r="B300" s="96" t="s">
        <v>417</v>
      </c>
      <c r="C300" s="641" t="s">
        <v>151</v>
      </c>
      <c r="D300" s="642"/>
      <c r="E300" s="68">
        <v>9493738484</v>
      </c>
      <c r="F300" s="69">
        <v>151204</v>
      </c>
      <c r="G300" s="66"/>
      <c r="H300" s="66"/>
      <c r="I300" s="66"/>
      <c r="J300" s="200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</row>
    <row r="301" spans="2:21" ht="33.75" customHeight="1" x14ac:dyDescent="0.2">
      <c r="B301" s="97" t="s">
        <v>418</v>
      </c>
      <c r="C301" s="651" t="s">
        <v>152</v>
      </c>
      <c r="D301" s="652"/>
      <c r="E301" s="70">
        <v>182868914</v>
      </c>
      <c r="F301" s="71">
        <v>26103</v>
      </c>
      <c r="G301" s="66"/>
      <c r="H301" s="66"/>
      <c r="I301" s="66"/>
      <c r="J301" s="200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</row>
    <row r="302" spans="2:21" ht="36.75" customHeight="1" x14ac:dyDescent="0.2">
      <c r="B302" s="97" t="s">
        <v>419</v>
      </c>
      <c r="C302" s="651" t="s">
        <v>153</v>
      </c>
      <c r="D302" s="652"/>
      <c r="E302" s="70">
        <v>1463262208</v>
      </c>
      <c r="F302" s="72">
        <v>6249</v>
      </c>
      <c r="G302" s="66"/>
      <c r="H302" s="66"/>
      <c r="I302" s="66"/>
      <c r="J302" s="200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</row>
    <row r="303" spans="2:21" ht="36.75" customHeight="1" x14ac:dyDescent="0.2">
      <c r="B303" s="97" t="s">
        <v>420</v>
      </c>
      <c r="C303" s="651" t="s">
        <v>154</v>
      </c>
      <c r="D303" s="652"/>
      <c r="E303" s="70">
        <v>4267562</v>
      </c>
      <c r="F303" s="72">
        <v>177</v>
      </c>
      <c r="G303" s="66"/>
      <c r="H303" s="66"/>
      <c r="I303" s="66"/>
      <c r="J303" s="200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</row>
    <row r="304" spans="2:21" ht="36.75" customHeight="1" x14ac:dyDescent="0.2">
      <c r="B304" s="97" t="s">
        <v>421</v>
      </c>
      <c r="C304" s="651" t="s">
        <v>155</v>
      </c>
      <c r="D304" s="652"/>
      <c r="E304" s="70">
        <v>46323424</v>
      </c>
      <c r="F304" s="73">
        <v>203</v>
      </c>
      <c r="G304" s="66"/>
      <c r="H304" s="66"/>
      <c r="I304" s="66"/>
      <c r="J304" s="200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</row>
    <row r="305" spans="2:21" ht="36.75" customHeight="1" x14ac:dyDescent="0.2">
      <c r="B305" s="97" t="s">
        <v>422</v>
      </c>
      <c r="C305" s="651" t="s">
        <v>156</v>
      </c>
      <c r="D305" s="652"/>
      <c r="E305" s="70">
        <v>1250000</v>
      </c>
      <c r="F305" s="73">
        <v>5</v>
      </c>
      <c r="G305" s="66"/>
      <c r="H305" s="66"/>
      <c r="I305" s="66"/>
      <c r="J305" s="200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</row>
    <row r="306" spans="2:21" ht="36.75" customHeight="1" x14ac:dyDescent="0.2">
      <c r="B306" s="97" t="s">
        <v>423</v>
      </c>
      <c r="C306" s="651" t="s">
        <v>157</v>
      </c>
      <c r="D306" s="652"/>
      <c r="E306" s="70">
        <v>2250000</v>
      </c>
      <c r="F306" s="73">
        <v>9</v>
      </c>
      <c r="G306" s="66"/>
      <c r="H306" s="66"/>
      <c r="I306" s="66"/>
      <c r="J306" s="200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</row>
    <row r="307" spans="2:21" ht="36.75" customHeight="1" thickBot="1" x14ac:dyDescent="0.25">
      <c r="B307" s="95" t="s">
        <v>424</v>
      </c>
      <c r="C307" s="653" t="s">
        <v>99</v>
      </c>
      <c r="D307" s="654"/>
      <c r="E307" s="74">
        <v>11500000</v>
      </c>
      <c r="F307" s="75">
        <v>46</v>
      </c>
      <c r="G307" s="66"/>
      <c r="H307" s="66"/>
      <c r="I307" s="66"/>
      <c r="J307" s="200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</row>
    <row r="308" spans="2:21" ht="36.75" customHeight="1" thickBot="1" x14ac:dyDescent="0.25">
      <c r="B308" s="327"/>
      <c r="C308" s="323"/>
      <c r="D308" s="323"/>
      <c r="E308" s="326"/>
      <c r="F308" s="326"/>
      <c r="G308" s="66"/>
      <c r="H308" s="66"/>
      <c r="I308" s="66"/>
      <c r="J308" s="200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</row>
    <row r="309" spans="2:21" ht="33.75" customHeight="1" thickBot="1" x14ac:dyDescent="0.25">
      <c r="B309" s="630" t="s">
        <v>416</v>
      </c>
      <c r="C309" s="127" t="s">
        <v>166</v>
      </c>
      <c r="D309" s="82"/>
      <c r="E309" s="82"/>
      <c r="F309" s="83"/>
      <c r="G309" s="66"/>
      <c r="H309" s="66"/>
      <c r="I309" s="66"/>
      <c r="J309" s="200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</row>
    <row r="310" spans="2:21" ht="33.75" customHeight="1" thickBot="1" x14ac:dyDescent="0.25">
      <c r="B310" s="631"/>
      <c r="C310" s="668" t="s">
        <v>612</v>
      </c>
      <c r="D310" s="669"/>
      <c r="E310" s="669"/>
      <c r="F310" s="670"/>
      <c r="G310" s="66"/>
      <c r="H310" s="66"/>
      <c r="I310" s="66"/>
      <c r="J310" s="200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</row>
    <row r="311" spans="2:21" ht="33.75" customHeight="1" thickBot="1" x14ac:dyDescent="0.25">
      <c r="B311" s="631"/>
      <c r="C311" s="127" t="s">
        <v>673</v>
      </c>
      <c r="D311" s="82"/>
      <c r="E311" s="82"/>
      <c r="F311" s="83"/>
      <c r="G311" s="66"/>
      <c r="H311" s="66"/>
      <c r="I311" s="66"/>
      <c r="J311" s="200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</row>
    <row r="312" spans="2:21" ht="33.75" customHeight="1" thickBot="1" x14ac:dyDescent="0.25">
      <c r="B312" s="631"/>
      <c r="C312" s="127" t="s">
        <v>678</v>
      </c>
      <c r="D312" s="82"/>
      <c r="E312" s="82"/>
      <c r="F312" s="83"/>
      <c r="G312" s="66"/>
      <c r="H312" s="66"/>
      <c r="I312" s="66"/>
      <c r="J312" s="200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</row>
    <row r="313" spans="2:21" ht="39.75" customHeight="1" thickBot="1" x14ac:dyDescent="0.25">
      <c r="B313" s="632"/>
      <c r="C313" s="639" t="s">
        <v>135</v>
      </c>
      <c r="D313" s="640"/>
      <c r="E313" s="84" t="s">
        <v>149</v>
      </c>
      <c r="F313" s="85" t="s">
        <v>150</v>
      </c>
      <c r="G313" s="66"/>
      <c r="H313" s="66"/>
      <c r="I313" s="66"/>
      <c r="J313" s="200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</row>
    <row r="314" spans="2:21" ht="39.75" customHeight="1" x14ac:dyDescent="0.2">
      <c r="B314" s="96" t="s">
        <v>417</v>
      </c>
      <c r="C314" s="641" t="s">
        <v>151</v>
      </c>
      <c r="D314" s="642"/>
      <c r="E314" s="328">
        <v>9280000</v>
      </c>
      <c r="F314" s="69">
        <v>10</v>
      </c>
      <c r="G314" s="66"/>
      <c r="H314" s="66"/>
      <c r="I314" s="66"/>
      <c r="J314" s="200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</row>
    <row r="315" spans="2:21" ht="33.75" customHeight="1" x14ac:dyDescent="0.2">
      <c r="B315" s="97" t="s">
        <v>418</v>
      </c>
      <c r="C315" s="651" t="s">
        <v>152</v>
      </c>
      <c r="D315" s="652"/>
      <c r="E315" s="329">
        <v>0</v>
      </c>
      <c r="F315" s="71">
        <v>0</v>
      </c>
      <c r="G315" s="66"/>
      <c r="H315" s="66"/>
      <c r="I315" s="66"/>
      <c r="J315" s="200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</row>
    <row r="316" spans="2:21" ht="36.75" customHeight="1" x14ac:dyDescent="0.2">
      <c r="B316" s="97" t="s">
        <v>419</v>
      </c>
      <c r="C316" s="651" t="s">
        <v>153</v>
      </c>
      <c r="D316" s="652"/>
      <c r="E316" s="329">
        <v>0</v>
      </c>
      <c r="F316" s="72">
        <v>0</v>
      </c>
      <c r="G316" s="66"/>
      <c r="H316" s="66"/>
      <c r="I316" s="66"/>
      <c r="J316" s="200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</row>
    <row r="317" spans="2:21" ht="36.75" customHeight="1" x14ac:dyDescent="0.2">
      <c r="B317" s="97" t="s">
        <v>420</v>
      </c>
      <c r="C317" s="651" t="s">
        <v>154</v>
      </c>
      <c r="D317" s="652"/>
      <c r="E317" s="329">
        <v>0</v>
      </c>
      <c r="F317" s="72">
        <v>0</v>
      </c>
      <c r="G317" s="66"/>
      <c r="H317" s="66"/>
      <c r="I317" s="66"/>
      <c r="J317" s="200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</row>
    <row r="318" spans="2:21" ht="36.75" customHeight="1" x14ac:dyDescent="0.2">
      <c r="B318" s="97" t="s">
        <v>421</v>
      </c>
      <c r="C318" s="651" t="s">
        <v>155</v>
      </c>
      <c r="D318" s="652"/>
      <c r="E318" s="329">
        <v>42688000</v>
      </c>
      <c r="F318" s="73">
        <v>46</v>
      </c>
      <c r="G318" s="66"/>
      <c r="H318" s="66"/>
      <c r="I318" s="66"/>
      <c r="J318" s="200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</row>
    <row r="319" spans="2:21" ht="36.75" customHeight="1" x14ac:dyDescent="0.2">
      <c r="B319" s="97" t="s">
        <v>422</v>
      </c>
      <c r="C319" s="651" t="s">
        <v>156</v>
      </c>
      <c r="D319" s="652"/>
      <c r="E319" s="329">
        <v>0</v>
      </c>
      <c r="F319" s="73">
        <v>0</v>
      </c>
      <c r="G319" s="66"/>
      <c r="H319" s="66"/>
      <c r="I319" s="66"/>
      <c r="J319" s="200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</row>
    <row r="320" spans="2:21" ht="36.75" customHeight="1" x14ac:dyDescent="0.2">
      <c r="B320" s="97" t="s">
        <v>423</v>
      </c>
      <c r="C320" s="651" t="s">
        <v>157</v>
      </c>
      <c r="D320" s="652"/>
      <c r="E320" s="329">
        <v>0</v>
      </c>
      <c r="F320" s="73">
        <v>0</v>
      </c>
      <c r="G320" s="66"/>
      <c r="H320" s="66"/>
      <c r="I320" s="66"/>
      <c r="J320" s="200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</row>
    <row r="321" spans="2:21" ht="36.75" customHeight="1" thickBot="1" x14ac:dyDescent="0.25">
      <c r="B321" s="95" t="s">
        <v>424</v>
      </c>
      <c r="C321" s="653" t="s">
        <v>99</v>
      </c>
      <c r="D321" s="654"/>
      <c r="E321" s="330">
        <v>0</v>
      </c>
      <c r="F321" s="75">
        <v>0</v>
      </c>
      <c r="G321" s="66"/>
      <c r="H321" s="66"/>
      <c r="I321" s="66"/>
      <c r="J321" s="200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</row>
    <row r="322" spans="2:21" ht="36.75" customHeight="1" thickBot="1" x14ac:dyDescent="0.25">
      <c r="B322" s="327"/>
      <c r="C322" s="323"/>
      <c r="D322" s="323"/>
      <c r="E322" s="326"/>
      <c r="F322" s="326"/>
      <c r="G322" s="66"/>
      <c r="H322" s="66"/>
      <c r="I322" s="66"/>
      <c r="J322" s="200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</row>
    <row r="323" spans="2:21" ht="40.5" customHeight="1" thickBot="1" x14ac:dyDescent="0.25">
      <c r="B323" s="658" t="s">
        <v>425</v>
      </c>
      <c r="C323" s="659"/>
      <c r="D323" s="126" t="s">
        <v>167</v>
      </c>
      <c r="E323" s="57"/>
      <c r="F323" s="57"/>
      <c r="G323" s="57"/>
      <c r="H323" s="57"/>
      <c r="I323" s="191"/>
      <c r="J323" s="57"/>
      <c r="K323" s="57"/>
      <c r="L323" s="57"/>
      <c r="M323" s="57"/>
      <c r="N323" s="57"/>
      <c r="O323" s="57"/>
      <c r="P323" s="57"/>
      <c r="Q323" s="57"/>
      <c r="R323" s="58"/>
    </row>
    <row r="324" spans="2:21" ht="40.5" customHeight="1" thickBot="1" x14ac:dyDescent="0.25">
      <c r="B324" s="660"/>
      <c r="C324" s="661"/>
      <c r="D324" s="126" t="s">
        <v>612</v>
      </c>
      <c r="E324" s="57"/>
      <c r="F324" s="57"/>
      <c r="G324" s="57"/>
      <c r="H324" s="57"/>
      <c r="I324" s="191"/>
      <c r="J324" s="57"/>
      <c r="K324" s="57"/>
      <c r="L324" s="57"/>
      <c r="M324" s="57"/>
      <c r="N324" s="57"/>
      <c r="O324" s="57"/>
      <c r="P324" s="57"/>
      <c r="Q324" s="57"/>
      <c r="R324" s="58"/>
    </row>
    <row r="325" spans="2:21" ht="36" customHeight="1" thickBot="1" x14ac:dyDescent="0.25">
      <c r="B325" s="660"/>
      <c r="C325" s="661"/>
      <c r="D325" s="126" t="s">
        <v>134</v>
      </c>
      <c r="E325" s="57"/>
      <c r="F325" s="57"/>
      <c r="G325" s="57"/>
      <c r="H325" s="57"/>
      <c r="I325" s="191"/>
      <c r="J325" s="57"/>
      <c r="K325" s="57"/>
      <c r="L325" s="57"/>
      <c r="M325" s="57"/>
      <c r="N325" s="57"/>
      <c r="O325" s="57"/>
      <c r="P325" s="57"/>
      <c r="Q325" s="57"/>
      <c r="R325" s="58"/>
    </row>
    <row r="326" spans="2:21" ht="32.25" customHeight="1" thickBot="1" x14ac:dyDescent="0.25">
      <c r="B326" s="660"/>
      <c r="C326" s="661"/>
      <c r="D326" s="633" t="s">
        <v>193</v>
      </c>
      <c r="E326" s="611" t="s">
        <v>168</v>
      </c>
      <c r="F326" s="612"/>
      <c r="G326" s="611" t="s">
        <v>692</v>
      </c>
      <c r="H326" s="612"/>
      <c r="I326" s="611" t="s">
        <v>170</v>
      </c>
      <c r="J326" s="612"/>
      <c r="K326" s="611" t="s">
        <v>171</v>
      </c>
      <c r="L326" s="612"/>
      <c r="M326" s="611" t="s">
        <v>693</v>
      </c>
      <c r="N326" s="612"/>
      <c r="O326" s="611" t="s">
        <v>694</v>
      </c>
      <c r="P326" s="612"/>
      <c r="Q326" s="611" t="s">
        <v>174</v>
      </c>
      <c r="R326" s="612"/>
    </row>
    <row r="327" spans="2:21" ht="33" customHeight="1" thickBot="1" x14ac:dyDescent="0.25">
      <c r="B327" s="662"/>
      <c r="C327" s="663"/>
      <c r="D327" s="634"/>
      <c r="E327" s="86" t="s">
        <v>175</v>
      </c>
      <c r="F327" s="88" t="s">
        <v>176</v>
      </c>
      <c r="G327" s="86" t="s">
        <v>175</v>
      </c>
      <c r="H327" s="60" t="s">
        <v>176</v>
      </c>
      <c r="I327" s="202" t="s">
        <v>175</v>
      </c>
      <c r="J327" s="88" t="s">
        <v>176</v>
      </c>
      <c r="K327" s="86" t="s">
        <v>175</v>
      </c>
      <c r="L327" s="60" t="s">
        <v>176</v>
      </c>
      <c r="M327" s="87" t="s">
        <v>175</v>
      </c>
      <c r="N327" s="88" t="s">
        <v>176</v>
      </c>
      <c r="O327" s="86" t="s">
        <v>175</v>
      </c>
      <c r="P327" s="60" t="s">
        <v>176</v>
      </c>
      <c r="Q327" s="87" t="s">
        <v>175</v>
      </c>
      <c r="R327" s="60" t="s">
        <v>176</v>
      </c>
    </row>
    <row r="328" spans="2:21" ht="37.5" customHeight="1" x14ac:dyDescent="0.2">
      <c r="B328" s="655" t="s">
        <v>426</v>
      </c>
      <c r="C328" s="101" t="s">
        <v>428</v>
      </c>
      <c r="D328" s="315" t="s">
        <v>177</v>
      </c>
      <c r="E328" s="335"/>
      <c r="F328" s="341"/>
      <c r="G328" s="335"/>
      <c r="H328" s="347"/>
      <c r="I328" s="344"/>
      <c r="J328" s="341"/>
      <c r="K328" s="335"/>
      <c r="L328" s="347"/>
      <c r="M328" s="344"/>
      <c r="N328" s="341"/>
      <c r="O328" s="335"/>
      <c r="P328" s="347"/>
      <c r="Q328" s="344">
        <v>0</v>
      </c>
      <c r="R328" s="77"/>
    </row>
    <row r="329" spans="2:21" ht="37.5" customHeight="1" thickBot="1" x14ac:dyDescent="0.25">
      <c r="B329" s="657"/>
      <c r="C329" s="103" t="s">
        <v>429</v>
      </c>
      <c r="D329" s="319" t="s">
        <v>178</v>
      </c>
      <c r="E329" s="336"/>
      <c r="F329" s="342"/>
      <c r="G329" s="564">
        <v>400000000</v>
      </c>
      <c r="H329" s="565">
        <v>385000000</v>
      </c>
      <c r="I329" s="566"/>
      <c r="J329" s="567"/>
      <c r="K329" s="564"/>
      <c r="L329" s="565"/>
      <c r="M329" s="566">
        <v>750000000</v>
      </c>
      <c r="N329" s="567">
        <v>0</v>
      </c>
      <c r="O329" s="564">
        <v>250000000</v>
      </c>
      <c r="P329" s="565">
        <v>0</v>
      </c>
      <c r="Q329" s="345"/>
      <c r="R329" s="78"/>
    </row>
    <row r="330" spans="2:21" ht="43.5" customHeight="1" x14ac:dyDescent="0.2">
      <c r="B330" s="655" t="s">
        <v>427</v>
      </c>
      <c r="C330" s="101" t="s">
        <v>430</v>
      </c>
      <c r="D330" s="315" t="s">
        <v>177</v>
      </c>
      <c r="E330" s="335"/>
      <c r="F330" s="341"/>
      <c r="G330" s="335"/>
      <c r="H330" s="347"/>
      <c r="I330" s="344"/>
      <c r="J330" s="341"/>
      <c r="K330" s="335"/>
      <c r="L330" s="347"/>
      <c r="M330" s="344"/>
      <c r="N330" s="341"/>
      <c r="O330" s="335"/>
      <c r="P330" s="347"/>
      <c r="Q330" s="344"/>
      <c r="R330" s="77"/>
    </row>
    <row r="331" spans="2:21" ht="43.5" customHeight="1" x14ac:dyDescent="0.2">
      <c r="B331" s="656"/>
      <c r="C331" s="102" t="s">
        <v>665</v>
      </c>
      <c r="D331" s="315" t="s">
        <v>179</v>
      </c>
      <c r="E331" s="337"/>
      <c r="F331" s="343"/>
      <c r="G331" s="337"/>
      <c r="H331" s="349"/>
      <c r="I331" s="346"/>
      <c r="J331" s="343"/>
      <c r="K331" s="337"/>
      <c r="L331" s="349"/>
      <c r="M331" s="346"/>
      <c r="N331" s="343"/>
      <c r="O331" s="337"/>
      <c r="P331" s="349"/>
      <c r="Q331" s="346"/>
      <c r="R331" s="79"/>
    </row>
    <row r="332" spans="2:21" ht="29.25" customHeight="1" thickBot="1" x14ac:dyDescent="0.25">
      <c r="B332" s="657"/>
      <c r="C332" s="103" t="s">
        <v>431</v>
      </c>
      <c r="D332" s="319" t="s">
        <v>178</v>
      </c>
      <c r="E332" s="336"/>
      <c r="F332" s="342"/>
      <c r="G332" s="336"/>
      <c r="H332" s="348"/>
      <c r="I332" s="345"/>
      <c r="J332" s="342"/>
      <c r="K332" s="336"/>
      <c r="L332" s="348"/>
      <c r="M332" s="345"/>
      <c r="N332" s="342"/>
      <c r="O332" s="336"/>
      <c r="P332" s="348"/>
      <c r="Q332" s="345"/>
      <c r="R332" s="78"/>
    </row>
    <row r="333" spans="2:21" ht="36.75" customHeight="1" x14ac:dyDescent="0.2">
      <c r="B333" s="327"/>
      <c r="C333" s="323"/>
      <c r="D333" s="323"/>
      <c r="E333" s="326"/>
      <c r="F333" s="326"/>
      <c r="G333" s="66"/>
      <c r="H333" s="66"/>
      <c r="I333" s="66"/>
      <c r="J333" s="200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</row>
    <row r="334" spans="2:21" ht="42.75" customHeight="1" thickBot="1" x14ac:dyDescent="0.25">
      <c r="B334" s="67"/>
      <c r="C334" s="67"/>
      <c r="D334" s="76"/>
      <c r="E334" s="76"/>
      <c r="F334" s="76"/>
      <c r="G334" s="76"/>
      <c r="H334" s="76"/>
      <c r="I334" s="76"/>
      <c r="J334" s="201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</row>
    <row r="335" spans="2:21" ht="40.5" customHeight="1" thickBot="1" x14ac:dyDescent="0.25">
      <c r="B335" s="658" t="s">
        <v>425</v>
      </c>
      <c r="C335" s="659"/>
      <c r="D335" s="126" t="s">
        <v>167</v>
      </c>
      <c r="E335" s="57"/>
      <c r="F335" s="57"/>
      <c r="G335" s="57"/>
      <c r="H335" s="57"/>
      <c r="I335" s="191"/>
      <c r="J335" s="57"/>
      <c r="K335" s="57"/>
      <c r="L335" s="57"/>
      <c r="M335" s="57"/>
      <c r="N335" s="57"/>
      <c r="O335" s="57"/>
      <c r="P335" s="57"/>
      <c r="Q335" s="57"/>
      <c r="R335" s="58"/>
    </row>
    <row r="336" spans="2:21" ht="40.5" customHeight="1" thickBot="1" x14ac:dyDescent="0.25">
      <c r="B336" s="660"/>
      <c r="C336" s="661"/>
      <c r="D336" s="126" t="s">
        <v>612</v>
      </c>
      <c r="E336" s="57"/>
      <c r="F336" s="57"/>
      <c r="G336" s="57"/>
      <c r="H336" s="57"/>
      <c r="I336" s="191"/>
      <c r="J336" s="57"/>
      <c r="K336" s="57"/>
      <c r="L336" s="57"/>
      <c r="M336" s="57"/>
      <c r="N336" s="57"/>
      <c r="O336" s="57"/>
      <c r="P336" s="57"/>
      <c r="Q336" s="57"/>
      <c r="R336" s="58"/>
    </row>
    <row r="337" spans="2:19" ht="36" customHeight="1" thickBot="1" x14ac:dyDescent="0.25">
      <c r="B337" s="660"/>
      <c r="C337" s="661"/>
      <c r="D337" s="126" t="s">
        <v>673</v>
      </c>
      <c r="E337" s="57"/>
      <c r="F337" s="57"/>
      <c r="G337" s="57"/>
      <c r="H337" s="57"/>
      <c r="I337" s="191"/>
      <c r="J337" s="57"/>
      <c r="K337" s="57"/>
      <c r="L337" s="57"/>
      <c r="M337" s="57"/>
      <c r="N337" s="57"/>
      <c r="O337" s="57"/>
      <c r="P337" s="57"/>
      <c r="Q337" s="57"/>
      <c r="R337" s="58"/>
    </row>
    <row r="338" spans="2:19" ht="32.25" customHeight="1" thickBot="1" x14ac:dyDescent="0.25">
      <c r="B338" s="660"/>
      <c r="C338" s="661"/>
      <c r="D338" s="633" t="s">
        <v>193</v>
      </c>
      <c r="E338" s="611" t="s">
        <v>168</v>
      </c>
      <c r="F338" s="612"/>
      <c r="G338" s="611" t="s">
        <v>169</v>
      </c>
      <c r="H338" s="612"/>
      <c r="I338" s="611" t="s">
        <v>696</v>
      </c>
      <c r="J338" s="612"/>
      <c r="K338" s="611" t="s">
        <v>697</v>
      </c>
      <c r="L338" s="612"/>
      <c r="M338" s="611" t="s">
        <v>172</v>
      </c>
      <c r="N338" s="612"/>
      <c r="O338" s="611" t="s">
        <v>173</v>
      </c>
      <c r="P338" s="612"/>
      <c r="Q338" s="611" t="s">
        <v>695</v>
      </c>
      <c r="R338" s="612"/>
    </row>
    <row r="339" spans="2:19" ht="33" customHeight="1" thickBot="1" x14ac:dyDescent="0.25">
      <c r="B339" s="662"/>
      <c r="C339" s="663"/>
      <c r="D339" s="634"/>
      <c r="E339" s="86" t="s">
        <v>175</v>
      </c>
      <c r="F339" s="88" t="s">
        <v>176</v>
      </c>
      <c r="G339" s="86" t="s">
        <v>175</v>
      </c>
      <c r="H339" s="60" t="s">
        <v>176</v>
      </c>
      <c r="I339" s="202" t="s">
        <v>175</v>
      </c>
      <c r="J339" s="88" t="s">
        <v>176</v>
      </c>
      <c r="K339" s="86" t="s">
        <v>175</v>
      </c>
      <c r="L339" s="60" t="s">
        <v>176</v>
      </c>
      <c r="M339" s="87" t="s">
        <v>175</v>
      </c>
      <c r="N339" s="88" t="s">
        <v>176</v>
      </c>
      <c r="O339" s="86" t="s">
        <v>175</v>
      </c>
      <c r="P339" s="60" t="s">
        <v>176</v>
      </c>
      <c r="Q339" s="87" t="s">
        <v>175</v>
      </c>
      <c r="R339" s="60" t="s">
        <v>176</v>
      </c>
    </row>
    <row r="340" spans="2:19" ht="37.5" customHeight="1" x14ac:dyDescent="0.2">
      <c r="B340" s="655" t="s">
        <v>426</v>
      </c>
      <c r="C340" s="101" t="s">
        <v>428</v>
      </c>
      <c r="D340" s="315" t="s">
        <v>177</v>
      </c>
      <c r="E340" s="335"/>
      <c r="F340" s="341"/>
      <c r="G340" s="335"/>
      <c r="H340" s="347"/>
      <c r="I340" s="344"/>
      <c r="J340" s="341"/>
      <c r="K340" s="335"/>
      <c r="L340" s="347"/>
      <c r="M340" s="344"/>
      <c r="N340" s="341"/>
      <c r="O340" s="335"/>
      <c r="P340" s="347"/>
      <c r="Q340" s="344"/>
      <c r="R340" s="77"/>
    </row>
    <row r="341" spans="2:19" ht="37.5" customHeight="1" thickBot="1" x14ac:dyDescent="0.25">
      <c r="B341" s="657"/>
      <c r="C341" s="103" t="s">
        <v>429</v>
      </c>
      <c r="D341" s="319" t="s">
        <v>178</v>
      </c>
      <c r="E341" s="336"/>
      <c r="F341" s="342"/>
      <c r="G341" s="336"/>
      <c r="H341" s="348"/>
      <c r="I341" s="345"/>
      <c r="J341" s="342"/>
      <c r="K341" s="336"/>
      <c r="L341" s="348"/>
      <c r="M341" s="345"/>
      <c r="N341" s="342"/>
      <c r="O341" s="336"/>
      <c r="P341" s="348"/>
      <c r="Q341" s="345"/>
      <c r="R341" s="78"/>
    </row>
    <row r="342" spans="2:19" ht="32.25" customHeight="1" x14ac:dyDescent="0.2">
      <c r="B342" s="655" t="s">
        <v>427</v>
      </c>
      <c r="C342" s="101" t="s">
        <v>430</v>
      </c>
      <c r="D342" s="315" t="s">
        <v>177</v>
      </c>
      <c r="E342" s="335"/>
      <c r="F342" s="341"/>
      <c r="G342" s="335"/>
      <c r="H342" s="347"/>
      <c r="I342" s="344"/>
      <c r="J342" s="341"/>
      <c r="K342" s="335"/>
      <c r="L342" s="347"/>
      <c r="M342" s="344"/>
      <c r="N342" s="341"/>
      <c r="O342" s="335"/>
      <c r="P342" s="347"/>
      <c r="Q342" s="344">
        <v>1600000000</v>
      </c>
      <c r="R342" s="77"/>
    </row>
    <row r="343" spans="2:19" ht="33.75" customHeight="1" x14ac:dyDescent="0.2">
      <c r="B343" s="656"/>
      <c r="C343" s="102" t="s">
        <v>665</v>
      </c>
      <c r="D343" s="315" t="s">
        <v>179</v>
      </c>
      <c r="E343" s="337"/>
      <c r="F343" s="343"/>
      <c r="G343" s="337"/>
      <c r="H343" s="349"/>
      <c r="I343" s="346"/>
      <c r="J343" s="343"/>
      <c r="K343" s="337"/>
      <c r="L343" s="349"/>
      <c r="M343" s="346"/>
      <c r="N343" s="343"/>
      <c r="O343" s="337"/>
      <c r="P343" s="349"/>
      <c r="Q343" s="346"/>
      <c r="R343" s="79"/>
    </row>
    <row r="344" spans="2:19" ht="35.25" customHeight="1" thickBot="1" x14ac:dyDescent="0.25">
      <c r="B344" s="657"/>
      <c r="C344" s="103" t="s">
        <v>431</v>
      </c>
      <c r="D344" s="319" t="s">
        <v>178</v>
      </c>
      <c r="E344" s="336"/>
      <c r="F344" s="342"/>
      <c r="G344" s="336"/>
      <c r="H344" s="348"/>
      <c r="I344" s="345">
        <v>612556941</v>
      </c>
      <c r="J344" s="342">
        <v>528294753</v>
      </c>
      <c r="K344" s="336">
        <v>807919783</v>
      </c>
      <c r="L344" s="348">
        <v>784532887</v>
      </c>
      <c r="M344" s="345"/>
      <c r="N344" s="342"/>
      <c r="O344" s="336"/>
      <c r="P344" s="348"/>
      <c r="Q344" s="345"/>
      <c r="R344" s="78"/>
    </row>
    <row r="345" spans="2:19" ht="29.25" customHeight="1" thickBot="1" x14ac:dyDescent="0.25">
      <c r="B345" s="137"/>
      <c r="C345" s="340"/>
      <c r="D345" s="323"/>
      <c r="E345" s="338"/>
      <c r="F345" s="338"/>
      <c r="G345" s="338"/>
      <c r="H345" s="338"/>
      <c r="I345" s="338"/>
      <c r="J345" s="338"/>
      <c r="K345" s="338"/>
      <c r="L345" s="338"/>
      <c r="M345" s="338"/>
      <c r="N345" s="338"/>
      <c r="O345" s="338"/>
      <c r="P345" s="338"/>
      <c r="Q345" s="338"/>
      <c r="R345" s="338"/>
      <c r="S345" s="339"/>
    </row>
    <row r="346" spans="2:19" ht="40.5" customHeight="1" thickBot="1" x14ac:dyDescent="0.25">
      <c r="B346" s="658" t="s">
        <v>425</v>
      </c>
      <c r="C346" s="659"/>
      <c r="D346" s="126" t="s">
        <v>167</v>
      </c>
      <c r="E346" s="57"/>
      <c r="F346" s="57"/>
      <c r="G346" s="57"/>
      <c r="H346" s="57"/>
      <c r="I346" s="57"/>
      <c r="J346" s="191"/>
      <c r="K346" s="57"/>
      <c r="L346" s="57"/>
      <c r="M346" s="57"/>
      <c r="N346" s="57"/>
      <c r="O346" s="57"/>
      <c r="P346" s="57"/>
      <c r="Q346" s="57"/>
      <c r="R346" s="58"/>
    </row>
    <row r="347" spans="2:19" ht="40.5" customHeight="1" thickBot="1" x14ac:dyDescent="0.25">
      <c r="B347" s="660"/>
      <c r="C347" s="661"/>
      <c r="D347" s="126" t="s">
        <v>612</v>
      </c>
      <c r="E347" s="57"/>
      <c r="F347" s="57"/>
      <c r="G347" s="57"/>
      <c r="H347" s="57"/>
      <c r="I347" s="57"/>
      <c r="J347" s="191"/>
      <c r="K347" s="57"/>
      <c r="L347" s="57"/>
      <c r="M347" s="57"/>
      <c r="N347" s="57"/>
      <c r="O347" s="57"/>
      <c r="P347" s="57"/>
      <c r="Q347" s="57"/>
      <c r="R347" s="58"/>
    </row>
    <row r="348" spans="2:19" ht="36" customHeight="1" thickBot="1" x14ac:dyDescent="0.25">
      <c r="B348" s="660"/>
      <c r="C348" s="661"/>
      <c r="D348" s="126" t="s">
        <v>676</v>
      </c>
      <c r="E348" s="57"/>
      <c r="F348" s="57"/>
      <c r="G348" s="57"/>
      <c r="H348" s="57"/>
      <c r="I348" s="57"/>
      <c r="J348" s="191"/>
      <c r="K348" s="57"/>
      <c r="L348" s="57"/>
      <c r="M348" s="57"/>
      <c r="N348" s="57"/>
      <c r="O348" s="57"/>
      <c r="P348" s="57"/>
      <c r="Q348" s="57"/>
      <c r="R348" s="58"/>
    </row>
    <row r="349" spans="2:19" ht="32.25" customHeight="1" thickBot="1" x14ac:dyDescent="0.25">
      <c r="B349" s="660"/>
      <c r="C349" s="661"/>
      <c r="D349" s="633" t="s">
        <v>193</v>
      </c>
      <c r="E349" s="611" t="s">
        <v>168</v>
      </c>
      <c r="F349" s="664"/>
      <c r="G349" s="611" t="s">
        <v>169</v>
      </c>
      <c r="H349" s="612"/>
      <c r="I349" s="664" t="s">
        <v>170</v>
      </c>
      <c r="J349" s="664"/>
      <c r="K349" s="611" t="s">
        <v>697</v>
      </c>
      <c r="L349" s="612"/>
      <c r="M349" s="664" t="s">
        <v>172</v>
      </c>
      <c r="N349" s="664"/>
      <c r="O349" s="611" t="s">
        <v>694</v>
      </c>
      <c r="P349" s="612"/>
      <c r="Q349" s="664" t="s">
        <v>174</v>
      </c>
      <c r="R349" s="612"/>
    </row>
    <row r="350" spans="2:19" ht="33" customHeight="1" thickBot="1" x14ac:dyDescent="0.25">
      <c r="B350" s="662"/>
      <c r="C350" s="663"/>
      <c r="D350" s="634"/>
      <c r="E350" s="86" t="s">
        <v>175</v>
      </c>
      <c r="F350" s="88" t="s">
        <v>176</v>
      </c>
      <c r="G350" s="86" t="s">
        <v>175</v>
      </c>
      <c r="H350" s="60" t="s">
        <v>176</v>
      </c>
      <c r="I350" s="202" t="s">
        <v>175</v>
      </c>
      <c r="J350" s="88" t="s">
        <v>176</v>
      </c>
      <c r="K350" s="86" t="s">
        <v>175</v>
      </c>
      <c r="L350" s="60" t="s">
        <v>176</v>
      </c>
      <c r="M350" s="87" t="s">
        <v>175</v>
      </c>
      <c r="N350" s="88" t="s">
        <v>176</v>
      </c>
      <c r="O350" s="86" t="s">
        <v>175</v>
      </c>
      <c r="P350" s="60" t="s">
        <v>176</v>
      </c>
      <c r="Q350" s="87" t="s">
        <v>175</v>
      </c>
      <c r="R350" s="60" t="s">
        <v>176</v>
      </c>
    </row>
    <row r="351" spans="2:19" ht="37.5" customHeight="1" x14ac:dyDescent="0.2">
      <c r="B351" s="655" t="s">
        <v>426</v>
      </c>
      <c r="C351" s="101" t="s">
        <v>428</v>
      </c>
      <c r="D351" s="315" t="s">
        <v>177</v>
      </c>
      <c r="E351" s="335"/>
      <c r="F351" s="341"/>
      <c r="G351" s="335"/>
      <c r="H351" s="347"/>
      <c r="I351" s="344"/>
      <c r="J351" s="341"/>
      <c r="K351" s="335"/>
      <c r="L351" s="347"/>
      <c r="M351" s="344"/>
      <c r="N351" s="341"/>
      <c r="O351" s="335"/>
      <c r="P351" s="347"/>
      <c r="Q351" s="344"/>
      <c r="R351" s="77"/>
    </row>
    <row r="352" spans="2:19" ht="37.5" customHeight="1" thickBot="1" x14ac:dyDescent="0.25">
      <c r="B352" s="657"/>
      <c r="C352" s="103" t="s">
        <v>429</v>
      </c>
      <c r="D352" s="319" t="s">
        <v>178</v>
      </c>
      <c r="E352" s="336"/>
      <c r="F352" s="342"/>
      <c r="G352" s="336">
        <v>0</v>
      </c>
      <c r="H352" s="348"/>
      <c r="I352" s="345"/>
      <c r="J352" s="342"/>
      <c r="K352" s="336"/>
      <c r="L352" s="348"/>
      <c r="M352" s="345"/>
      <c r="N352" s="342"/>
      <c r="O352" s="336"/>
      <c r="P352" s="348"/>
      <c r="Q352" s="345"/>
      <c r="R352" s="78"/>
    </row>
    <row r="353" spans="2:21" ht="43.5" customHeight="1" x14ac:dyDescent="0.2">
      <c r="B353" s="655" t="s">
        <v>427</v>
      </c>
      <c r="C353" s="101" t="s">
        <v>430</v>
      </c>
      <c r="D353" s="315" t="s">
        <v>177</v>
      </c>
      <c r="E353" s="335"/>
      <c r="F353" s="341"/>
      <c r="G353" s="335"/>
      <c r="H353" s="347"/>
      <c r="I353" s="344"/>
      <c r="J353" s="341"/>
      <c r="K353" s="335"/>
      <c r="L353" s="347"/>
      <c r="M353" s="344"/>
      <c r="N353" s="341"/>
      <c r="O353" s="335"/>
      <c r="P353" s="347"/>
      <c r="Q353" s="344"/>
      <c r="R353" s="77"/>
    </row>
    <row r="354" spans="2:21" ht="43.5" customHeight="1" x14ac:dyDescent="0.2">
      <c r="B354" s="656"/>
      <c r="C354" s="102" t="s">
        <v>665</v>
      </c>
      <c r="D354" s="315" t="s">
        <v>179</v>
      </c>
      <c r="E354" s="337"/>
      <c r="F354" s="343"/>
      <c r="G354" s="337"/>
      <c r="H354" s="349"/>
      <c r="I354" s="346"/>
      <c r="J354" s="343"/>
      <c r="K354" s="337"/>
      <c r="L354" s="349"/>
      <c r="M354" s="346"/>
      <c r="N354" s="343"/>
      <c r="O354" s="337"/>
      <c r="P354" s="349"/>
      <c r="Q354" s="346"/>
      <c r="R354" s="79"/>
    </row>
    <row r="355" spans="2:21" ht="29.25" customHeight="1" thickBot="1" x14ac:dyDescent="0.25">
      <c r="B355" s="657"/>
      <c r="C355" s="103" t="s">
        <v>431</v>
      </c>
      <c r="D355" s="319" t="s">
        <v>178</v>
      </c>
      <c r="E355" s="336"/>
      <c r="F355" s="342"/>
      <c r="G355" s="336"/>
      <c r="H355" s="348">
        <v>0</v>
      </c>
      <c r="I355" s="345"/>
      <c r="J355" s="342"/>
      <c r="K355" s="336">
        <v>284532887</v>
      </c>
      <c r="L355" s="348">
        <v>282347000</v>
      </c>
      <c r="M355" s="345"/>
      <c r="N355" s="342"/>
      <c r="O355" s="336">
        <v>305000000</v>
      </c>
      <c r="P355" s="348">
        <v>25780000</v>
      </c>
      <c r="Q355" s="345"/>
      <c r="R355" s="78"/>
    </row>
    <row r="356" spans="2:21" ht="29.25" customHeight="1" thickBot="1" x14ac:dyDescent="0.25">
      <c r="B356" s="137"/>
      <c r="C356" s="340"/>
      <c r="D356" s="323"/>
      <c r="E356" s="338"/>
      <c r="F356" s="338"/>
      <c r="G356" s="338"/>
      <c r="H356" s="338"/>
      <c r="I356" s="338"/>
      <c r="J356" s="338"/>
      <c r="K356" s="338"/>
      <c r="L356" s="338"/>
      <c r="M356" s="338"/>
      <c r="N356" s="338"/>
      <c r="O356" s="338"/>
      <c r="P356" s="338"/>
      <c r="Q356" s="338"/>
      <c r="R356" s="338"/>
      <c r="S356" s="339"/>
    </row>
    <row r="357" spans="2:21" ht="29.25" customHeight="1" thickBot="1" x14ac:dyDescent="0.25">
      <c r="B357" s="658" t="s">
        <v>432</v>
      </c>
      <c r="C357" s="659"/>
      <c r="D357" s="668" t="s">
        <v>180</v>
      </c>
      <c r="E357" s="669"/>
      <c r="F357" s="669"/>
      <c r="G357" s="669"/>
      <c r="H357" s="669"/>
      <c r="I357" s="669"/>
      <c r="J357" s="669"/>
      <c r="K357" s="669"/>
      <c r="L357" s="669"/>
      <c r="M357" s="669"/>
      <c r="N357" s="669"/>
      <c r="O357" s="669"/>
      <c r="P357" s="669"/>
      <c r="Q357" s="669"/>
      <c r="R357" s="670"/>
      <c r="S357" s="80"/>
    </row>
    <row r="358" spans="2:21" ht="29.25" customHeight="1" thickBot="1" x14ac:dyDescent="0.25">
      <c r="B358" s="660"/>
      <c r="C358" s="661"/>
      <c r="D358" s="126" t="s">
        <v>612</v>
      </c>
      <c r="E358" s="127"/>
      <c r="F358" s="127"/>
      <c r="G358" s="127"/>
      <c r="H358" s="127"/>
      <c r="I358" s="127"/>
      <c r="J358" s="127"/>
      <c r="K358" s="127"/>
      <c r="L358" s="127"/>
      <c r="M358" s="127"/>
      <c r="N358" s="127"/>
      <c r="O358" s="127"/>
      <c r="P358" s="127"/>
      <c r="Q358" s="127"/>
      <c r="R358" s="128"/>
      <c r="S358" s="80"/>
    </row>
    <row r="359" spans="2:21" ht="29.25" customHeight="1" thickBot="1" x14ac:dyDescent="0.25">
      <c r="B359" s="660"/>
      <c r="C359" s="661"/>
      <c r="D359" s="668" t="s">
        <v>134</v>
      </c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69"/>
      <c r="P359" s="669"/>
      <c r="Q359" s="669"/>
      <c r="R359" s="670"/>
      <c r="S359" s="80"/>
    </row>
    <row r="360" spans="2:21" ht="49.5" customHeight="1" thickBot="1" x14ac:dyDescent="0.25">
      <c r="B360" s="662"/>
      <c r="C360" s="663"/>
      <c r="D360" s="126" t="s">
        <v>135</v>
      </c>
      <c r="E360" s="611" t="s">
        <v>698</v>
      </c>
      <c r="F360" s="664"/>
      <c r="G360" s="611" t="s">
        <v>692</v>
      </c>
      <c r="H360" s="612"/>
      <c r="I360" s="664" t="s">
        <v>696</v>
      </c>
      <c r="J360" s="664"/>
      <c r="K360" s="611" t="s">
        <v>697</v>
      </c>
      <c r="L360" s="612"/>
      <c r="M360" s="664" t="s">
        <v>693</v>
      </c>
      <c r="N360" s="664"/>
      <c r="O360" s="611" t="s">
        <v>694</v>
      </c>
      <c r="P360" s="612"/>
      <c r="Q360" s="664" t="s">
        <v>695</v>
      </c>
      <c r="R360" s="612"/>
      <c r="S360" s="81"/>
    </row>
    <row r="361" spans="2:21" ht="42.75" customHeight="1" thickBot="1" x14ac:dyDescent="0.25">
      <c r="B361" s="665" t="s">
        <v>433</v>
      </c>
      <c r="C361" s="666"/>
      <c r="D361" s="89" t="s">
        <v>182</v>
      </c>
      <c r="E361" s="667">
        <v>15000000</v>
      </c>
      <c r="F361" s="667"/>
      <c r="G361" s="691"/>
      <c r="H361" s="692"/>
      <c r="I361" s="671"/>
      <c r="J361" s="671"/>
      <c r="K361" s="667">
        <v>20000000</v>
      </c>
      <c r="L361" s="667"/>
      <c r="M361" s="671"/>
      <c r="N361" s="671"/>
      <c r="O361" s="667">
        <v>20000000</v>
      </c>
      <c r="P361" s="667"/>
      <c r="Q361" s="671"/>
      <c r="R361" s="671"/>
      <c r="S361" s="81"/>
    </row>
    <row r="362" spans="2:21" ht="37.5" customHeight="1" x14ac:dyDescent="0.2">
      <c r="B362" s="655" t="s">
        <v>434</v>
      </c>
      <c r="C362" s="101" t="s">
        <v>435</v>
      </c>
      <c r="D362" s="309" t="s">
        <v>183</v>
      </c>
      <c r="E362" s="682"/>
      <c r="F362" s="683"/>
      <c r="G362" s="682"/>
      <c r="H362" s="684"/>
      <c r="I362" s="682"/>
      <c r="J362" s="683"/>
      <c r="K362" s="682"/>
      <c r="L362" s="683"/>
      <c r="M362" s="682"/>
      <c r="N362" s="683"/>
      <c r="O362" s="682"/>
      <c r="P362" s="683"/>
      <c r="Q362" s="682"/>
      <c r="R362" s="684"/>
      <c r="S362" s="81"/>
    </row>
    <row r="363" spans="2:21" ht="42.75" customHeight="1" x14ac:dyDescent="0.2">
      <c r="B363" s="656"/>
      <c r="C363" s="102" t="s">
        <v>436</v>
      </c>
      <c r="D363" s="315" t="s">
        <v>184</v>
      </c>
      <c r="E363" s="672"/>
      <c r="F363" s="674"/>
      <c r="G363" s="672"/>
      <c r="H363" s="673"/>
      <c r="I363" s="672"/>
      <c r="J363" s="674"/>
      <c r="K363" s="672"/>
      <c r="L363" s="674"/>
      <c r="M363" s="672"/>
      <c r="N363" s="674"/>
      <c r="O363" s="672"/>
      <c r="P363" s="674"/>
      <c r="Q363" s="672"/>
      <c r="R363" s="673"/>
      <c r="S363" s="81"/>
    </row>
    <row r="364" spans="2:21" ht="42.75" customHeight="1" x14ac:dyDescent="0.2">
      <c r="B364" s="656"/>
      <c r="C364" s="102" t="s">
        <v>437</v>
      </c>
      <c r="D364" s="315" t="s">
        <v>185</v>
      </c>
      <c r="E364" s="672"/>
      <c r="F364" s="674"/>
      <c r="G364" s="672"/>
      <c r="H364" s="673"/>
      <c r="I364" s="672"/>
      <c r="J364" s="674"/>
      <c r="K364" s="672"/>
      <c r="L364" s="674"/>
      <c r="M364" s="672"/>
      <c r="N364" s="674"/>
      <c r="O364" s="672"/>
      <c r="P364" s="674"/>
      <c r="Q364" s="672"/>
      <c r="R364" s="673"/>
      <c r="S364" s="81"/>
    </row>
    <row r="365" spans="2:21" ht="39" customHeight="1" x14ac:dyDescent="0.2">
      <c r="B365" s="656"/>
      <c r="C365" s="102" t="s">
        <v>438</v>
      </c>
      <c r="D365" s="315" t="s">
        <v>186</v>
      </c>
      <c r="E365" s="672"/>
      <c r="F365" s="674"/>
      <c r="G365" s="672"/>
      <c r="H365" s="673"/>
      <c r="I365" s="672"/>
      <c r="J365" s="674"/>
      <c r="K365" s="672"/>
      <c r="L365" s="674"/>
      <c r="M365" s="672"/>
      <c r="N365" s="674"/>
      <c r="O365" s="672"/>
      <c r="P365" s="674"/>
      <c r="Q365" s="672"/>
      <c r="R365" s="673"/>
      <c r="S365" s="81"/>
    </row>
    <row r="366" spans="2:21" ht="34.5" customHeight="1" thickBot="1" x14ac:dyDescent="0.25">
      <c r="B366" s="657"/>
      <c r="C366" s="103" t="s">
        <v>439</v>
      </c>
      <c r="D366" s="319" t="s">
        <v>187</v>
      </c>
      <c r="E366" s="677"/>
      <c r="F366" s="678"/>
      <c r="G366" s="677"/>
      <c r="H366" s="679"/>
      <c r="I366" s="677"/>
      <c r="J366" s="678"/>
      <c r="K366" s="677"/>
      <c r="L366" s="678"/>
      <c r="M366" s="677"/>
      <c r="N366" s="678"/>
      <c r="O366" s="677"/>
      <c r="P366" s="678"/>
      <c r="Q366" s="677"/>
      <c r="R366" s="679"/>
      <c r="S366" s="81"/>
    </row>
    <row r="367" spans="2:21" ht="29.25" customHeight="1" x14ac:dyDescent="0.2">
      <c r="B367" s="137"/>
      <c r="C367" s="340"/>
      <c r="D367" s="323"/>
      <c r="E367" s="338"/>
      <c r="F367" s="338"/>
      <c r="G367" s="338"/>
      <c r="H367" s="338"/>
      <c r="I367" s="338"/>
      <c r="J367" s="338"/>
      <c r="K367" s="338"/>
      <c r="L367" s="338"/>
      <c r="M367" s="338"/>
      <c r="N367" s="338"/>
      <c r="O367" s="338"/>
      <c r="P367" s="338"/>
      <c r="Q367" s="338"/>
      <c r="R367" s="338"/>
      <c r="S367" s="339"/>
    </row>
    <row r="368" spans="2:21" ht="29.25" customHeight="1" thickBot="1" x14ac:dyDescent="0.25">
      <c r="B368" s="66"/>
      <c r="C368" s="66"/>
      <c r="D368" s="66"/>
      <c r="E368" s="66"/>
      <c r="F368" s="66"/>
      <c r="G368" s="66"/>
      <c r="H368" s="66"/>
      <c r="I368" s="66"/>
      <c r="J368" s="200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</row>
    <row r="369" spans="2:19" ht="29.25" customHeight="1" thickBot="1" x14ac:dyDescent="0.25">
      <c r="B369" s="658" t="s">
        <v>432</v>
      </c>
      <c r="C369" s="659"/>
      <c r="D369" s="668" t="s">
        <v>180</v>
      </c>
      <c r="E369" s="669"/>
      <c r="F369" s="669"/>
      <c r="G369" s="669"/>
      <c r="H369" s="669"/>
      <c r="I369" s="669"/>
      <c r="J369" s="669"/>
      <c r="K369" s="669"/>
      <c r="L369" s="669"/>
      <c r="M369" s="669"/>
      <c r="N369" s="669"/>
      <c r="O369" s="669"/>
      <c r="P369" s="669"/>
      <c r="Q369" s="669"/>
      <c r="R369" s="670"/>
      <c r="S369" s="80"/>
    </row>
    <row r="370" spans="2:19" ht="29.25" customHeight="1" thickBot="1" x14ac:dyDescent="0.25">
      <c r="B370" s="660"/>
      <c r="C370" s="661"/>
      <c r="D370" s="126" t="s">
        <v>612</v>
      </c>
      <c r="E370" s="127"/>
      <c r="F370" s="127"/>
      <c r="G370" s="127"/>
      <c r="H370" s="127"/>
      <c r="I370" s="127"/>
      <c r="J370" s="127"/>
      <c r="K370" s="127"/>
      <c r="L370" s="127"/>
      <c r="M370" s="127"/>
      <c r="N370" s="127"/>
      <c r="O370" s="127"/>
      <c r="P370" s="127"/>
      <c r="Q370" s="127"/>
      <c r="R370" s="128"/>
      <c r="S370" s="80"/>
    </row>
    <row r="371" spans="2:19" ht="29.25" customHeight="1" thickBot="1" x14ac:dyDescent="0.25">
      <c r="B371" s="660"/>
      <c r="C371" s="661"/>
      <c r="D371" s="668" t="s">
        <v>673</v>
      </c>
      <c r="E371" s="669"/>
      <c r="F371" s="669"/>
      <c r="G371" s="669"/>
      <c r="H371" s="669"/>
      <c r="I371" s="669"/>
      <c r="J371" s="669"/>
      <c r="K371" s="669"/>
      <c r="L371" s="669"/>
      <c r="M371" s="669"/>
      <c r="N371" s="669"/>
      <c r="O371" s="669"/>
      <c r="P371" s="669"/>
      <c r="Q371" s="669"/>
      <c r="R371" s="670"/>
      <c r="S371" s="80"/>
    </row>
    <row r="372" spans="2:19" ht="49.5" customHeight="1" thickBot="1" x14ac:dyDescent="0.25">
      <c r="B372" s="662"/>
      <c r="C372" s="663"/>
      <c r="D372" s="126" t="s">
        <v>135</v>
      </c>
      <c r="E372" s="611" t="s">
        <v>698</v>
      </c>
      <c r="F372" s="664"/>
      <c r="G372" s="611" t="s">
        <v>692</v>
      </c>
      <c r="H372" s="612"/>
      <c r="I372" s="664" t="s">
        <v>696</v>
      </c>
      <c r="J372" s="664"/>
      <c r="K372" s="611" t="s">
        <v>697</v>
      </c>
      <c r="L372" s="612"/>
      <c r="M372" s="664" t="s">
        <v>693</v>
      </c>
      <c r="N372" s="664"/>
      <c r="O372" s="611" t="s">
        <v>694</v>
      </c>
      <c r="P372" s="612"/>
      <c r="Q372" s="664" t="s">
        <v>695</v>
      </c>
      <c r="R372" s="612"/>
      <c r="S372" s="81"/>
    </row>
    <row r="373" spans="2:19" ht="42.75" customHeight="1" thickBot="1" x14ac:dyDescent="0.25">
      <c r="B373" s="665" t="s">
        <v>433</v>
      </c>
      <c r="C373" s="666"/>
      <c r="D373" s="89" t="s">
        <v>182</v>
      </c>
      <c r="E373" s="667"/>
      <c r="F373" s="667"/>
      <c r="G373" s="691"/>
      <c r="H373" s="692"/>
      <c r="I373" s="671"/>
      <c r="J373" s="671"/>
      <c r="K373" s="667"/>
      <c r="L373" s="667"/>
      <c r="M373" s="671"/>
      <c r="N373" s="671"/>
      <c r="O373" s="667"/>
      <c r="P373" s="667"/>
      <c r="Q373" s="671"/>
      <c r="R373" s="671"/>
      <c r="S373" s="81"/>
    </row>
    <row r="374" spans="2:19" ht="37.5" customHeight="1" x14ac:dyDescent="0.2">
      <c r="B374" s="655" t="s">
        <v>434</v>
      </c>
      <c r="C374" s="101" t="s">
        <v>435</v>
      </c>
      <c r="D374" s="309" t="s">
        <v>183</v>
      </c>
      <c r="E374" s="682"/>
      <c r="F374" s="683"/>
      <c r="G374" s="682"/>
      <c r="H374" s="684"/>
      <c r="I374" s="682"/>
      <c r="J374" s="683"/>
      <c r="K374" s="682"/>
      <c r="L374" s="683"/>
      <c r="M374" s="682"/>
      <c r="N374" s="683"/>
      <c r="O374" s="682"/>
      <c r="P374" s="683"/>
      <c r="Q374" s="682"/>
      <c r="R374" s="684"/>
      <c r="S374" s="81"/>
    </row>
    <row r="375" spans="2:19" ht="42.75" customHeight="1" x14ac:dyDescent="0.2">
      <c r="B375" s="656"/>
      <c r="C375" s="102" t="s">
        <v>436</v>
      </c>
      <c r="D375" s="315" t="s">
        <v>184</v>
      </c>
      <c r="E375" s="672"/>
      <c r="F375" s="674"/>
      <c r="G375" s="672"/>
      <c r="H375" s="673"/>
      <c r="I375" s="672"/>
      <c r="J375" s="674"/>
      <c r="K375" s="672"/>
      <c r="L375" s="674"/>
      <c r="M375" s="672"/>
      <c r="N375" s="674"/>
      <c r="O375" s="672"/>
      <c r="P375" s="674"/>
      <c r="Q375" s="672"/>
      <c r="R375" s="673"/>
      <c r="S375" s="81"/>
    </row>
    <row r="376" spans="2:19" ht="42.75" customHeight="1" x14ac:dyDescent="0.2">
      <c r="B376" s="656"/>
      <c r="C376" s="102" t="s">
        <v>437</v>
      </c>
      <c r="D376" s="315" t="s">
        <v>185</v>
      </c>
      <c r="E376" s="672"/>
      <c r="F376" s="674"/>
      <c r="G376" s="672"/>
      <c r="H376" s="673"/>
      <c r="I376" s="675">
        <v>400000000</v>
      </c>
      <c r="J376" s="676"/>
      <c r="K376" s="675">
        <v>600000000</v>
      </c>
      <c r="L376" s="676"/>
      <c r="M376" s="672"/>
      <c r="N376" s="674"/>
      <c r="O376" s="672"/>
      <c r="P376" s="674"/>
      <c r="Q376" s="672"/>
      <c r="R376" s="673"/>
      <c r="S376" s="81"/>
    </row>
    <row r="377" spans="2:19" ht="39" customHeight="1" x14ac:dyDescent="0.2">
      <c r="B377" s="656"/>
      <c r="C377" s="102" t="s">
        <v>438</v>
      </c>
      <c r="D377" s="315" t="s">
        <v>186</v>
      </c>
      <c r="E377" s="675">
        <v>100000000</v>
      </c>
      <c r="F377" s="676"/>
      <c r="G377" s="675">
        <v>150000000</v>
      </c>
      <c r="H377" s="676"/>
      <c r="I377" s="675">
        <v>85000000</v>
      </c>
      <c r="J377" s="676"/>
      <c r="K377" s="672"/>
      <c r="L377" s="674"/>
      <c r="M377" s="672"/>
      <c r="N377" s="674"/>
      <c r="O377" s="672"/>
      <c r="P377" s="674"/>
      <c r="Q377" s="672"/>
      <c r="R377" s="673"/>
      <c r="S377" s="81"/>
    </row>
    <row r="378" spans="2:19" ht="34.5" customHeight="1" thickBot="1" x14ac:dyDescent="0.25">
      <c r="B378" s="657"/>
      <c r="C378" s="103" t="s">
        <v>439</v>
      </c>
      <c r="D378" s="319" t="s">
        <v>187</v>
      </c>
      <c r="E378" s="677"/>
      <c r="F378" s="678"/>
      <c r="G378" s="677">
        <v>45000000</v>
      </c>
      <c r="H378" s="679"/>
      <c r="I378" s="677">
        <v>20000000</v>
      </c>
      <c r="J378" s="678"/>
      <c r="K378" s="677"/>
      <c r="L378" s="678"/>
      <c r="M378" s="677"/>
      <c r="N378" s="678"/>
      <c r="O378" s="677">
        <v>30000000</v>
      </c>
      <c r="P378" s="678"/>
      <c r="Q378" s="677"/>
      <c r="R378" s="679"/>
      <c r="S378" s="81"/>
    </row>
    <row r="379" spans="2:19" ht="34.5" customHeight="1" thickBot="1" x14ac:dyDescent="0.25">
      <c r="B379" s="137"/>
      <c r="C379" s="340"/>
      <c r="D379" s="323"/>
      <c r="E379" s="324"/>
      <c r="F379" s="324"/>
      <c r="G379" s="324"/>
      <c r="H379" s="324"/>
      <c r="I379" s="324"/>
      <c r="J379" s="324"/>
      <c r="K379" s="324"/>
      <c r="L379" s="324"/>
      <c r="M379" s="324"/>
      <c r="N379" s="324"/>
      <c r="O379" s="324"/>
      <c r="P379" s="324"/>
      <c r="Q379" s="324"/>
      <c r="R379" s="324"/>
      <c r="S379" s="81"/>
    </row>
    <row r="380" spans="2:19" ht="29.25" customHeight="1" thickBot="1" x14ac:dyDescent="0.25">
      <c r="B380" s="658" t="s">
        <v>432</v>
      </c>
      <c r="C380" s="659"/>
      <c r="D380" s="668" t="s">
        <v>180</v>
      </c>
      <c r="E380" s="669"/>
      <c r="F380" s="669"/>
      <c r="G380" s="669"/>
      <c r="H380" s="669"/>
      <c r="I380" s="669"/>
      <c r="J380" s="669"/>
      <c r="K380" s="669"/>
      <c r="L380" s="669"/>
      <c r="M380" s="669"/>
      <c r="N380" s="669"/>
      <c r="O380" s="669"/>
      <c r="P380" s="669"/>
      <c r="Q380" s="669"/>
      <c r="R380" s="670"/>
      <c r="S380" s="80"/>
    </row>
    <row r="381" spans="2:19" ht="29.25" customHeight="1" thickBot="1" x14ac:dyDescent="0.25">
      <c r="B381" s="660"/>
      <c r="C381" s="661"/>
      <c r="D381" s="126" t="s">
        <v>612</v>
      </c>
      <c r="E381" s="127"/>
      <c r="F381" s="127"/>
      <c r="G381" s="127"/>
      <c r="H381" s="127"/>
      <c r="I381" s="127"/>
      <c r="J381" s="127"/>
      <c r="K381" s="127"/>
      <c r="L381" s="127"/>
      <c r="M381" s="127"/>
      <c r="N381" s="127"/>
      <c r="O381" s="127"/>
      <c r="P381" s="127"/>
      <c r="Q381" s="127"/>
      <c r="R381" s="128"/>
      <c r="S381" s="80"/>
    </row>
    <row r="382" spans="2:19" ht="29.25" customHeight="1" thickBot="1" x14ac:dyDescent="0.25">
      <c r="B382" s="660"/>
      <c r="C382" s="661"/>
      <c r="D382" s="668" t="s">
        <v>676</v>
      </c>
      <c r="E382" s="669"/>
      <c r="F382" s="669"/>
      <c r="G382" s="669"/>
      <c r="H382" s="669"/>
      <c r="I382" s="669"/>
      <c r="J382" s="669"/>
      <c r="K382" s="669"/>
      <c r="L382" s="669"/>
      <c r="M382" s="669"/>
      <c r="N382" s="669"/>
      <c r="O382" s="669"/>
      <c r="P382" s="669"/>
      <c r="Q382" s="669"/>
      <c r="R382" s="670"/>
      <c r="S382" s="80"/>
    </row>
    <row r="383" spans="2:19" ht="49.5" customHeight="1" thickBot="1" x14ac:dyDescent="0.25">
      <c r="B383" s="662"/>
      <c r="C383" s="663"/>
      <c r="D383" s="126" t="s">
        <v>135</v>
      </c>
      <c r="E383" s="611" t="s">
        <v>698</v>
      </c>
      <c r="F383" s="664"/>
      <c r="G383" s="611" t="s">
        <v>692</v>
      </c>
      <c r="H383" s="612"/>
      <c r="I383" s="664" t="s">
        <v>696</v>
      </c>
      <c r="J383" s="664"/>
      <c r="K383" s="611" t="s">
        <v>697</v>
      </c>
      <c r="L383" s="612"/>
      <c r="M383" s="664" t="s">
        <v>693</v>
      </c>
      <c r="N383" s="664"/>
      <c r="O383" s="611" t="s">
        <v>694</v>
      </c>
      <c r="P383" s="612"/>
      <c r="Q383" s="664" t="s">
        <v>695</v>
      </c>
      <c r="R383" s="612"/>
      <c r="S383" s="81"/>
    </row>
    <row r="384" spans="2:19" ht="42.75" customHeight="1" thickBot="1" x14ac:dyDescent="0.25">
      <c r="B384" s="665" t="s">
        <v>433</v>
      </c>
      <c r="C384" s="666"/>
      <c r="D384" s="89" t="s">
        <v>182</v>
      </c>
      <c r="E384" s="667"/>
      <c r="F384" s="667"/>
      <c r="G384" s="691"/>
      <c r="H384" s="692"/>
      <c r="I384" s="671"/>
      <c r="J384" s="671"/>
      <c r="K384" s="667"/>
      <c r="L384" s="667"/>
      <c r="M384" s="671"/>
      <c r="N384" s="671"/>
      <c r="O384" s="667"/>
      <c r="P384" s="667"/>
      <c r="Q384" s="671"/>
      <c r="R384" s="671"/>
      <c r="S384" s="81"/>
    </row>
    <row r="385" spans="2:21" ht="37.5" customHeight="1" x14ac:dyDescent="0.2">
      <c r="B385" s="655" t="s">
        <v>434</v>
      </c>
      <c r="C385" s="101" t="s">
        <v>435</v>
      </c>
      <c r="D385" s="309" t="s">
        <v>183</v>
      </c>
      <c r="E385" s="682"/>
      <c r="F385" s="683"/>
      <c r="G385" s="682"/>
      <c r="H385" s="684"/>
      <c r="I385" s="682"/>
      <c r="J385" s="683"/>
      <c r="K385" s="682"/>
      <c r="L385" s="683"/>
      <c r="M385" s="682"/>
      <c r="N385" s="683"/>
      <c r="O385" s="682"/>
      <c r="P385" s="683"/>
      <c r="Q385" s="682"/>
      <c r="R385" s="684"/>
      <c r="S385" s="81"/>
    </row>
    <row r="386" spans="2:21" ht="42.75" customHeight="1" x14ac:dyDescent="0.2">
      <c r="B386" s="656"/>
      <c r="C386" s="102" t="s">
        <v>436</v>
      </c>
      <c r="D386" s="315" t="s">
        <v>184</v>
      </c>
      <c r="E386" s="672"/>
      <c r="F386" s="674"/>
      <c r="G386" s="672"/>
      <c r="H386" s="673"/>
      <c r="I386" s="672"/>
      <c r="J386" s="674"/>
      <c r="K386" s="672"/>
      <c r="L386" s="674"/>
      <c r="M386" s="672"/>
      <c r="N386" s="674"/>
      <c r="O386" s="672"/>
      <c r="P386" s="674"/>
      <c r="Q386" s="672"/>
      <c r="R386" s="673"/>
      <c r="S386" s="81"/>
    </row>
    <row r="387" spans="2:21" ht="42.75" customHeight="1" x14ac:dyDescent="0.2">
      <c r="B387" s="656"/>
      <c r="C387" s="102" t="s">
        <v>437</v>
      </c>
      <c r="D387" s="315" t="s">
        <v>185</v>
      </c>
      <c r="E387" s="672"/>
      <c r="F387" s="674"/>
      <c r="G387" s="672"/>
      <c r="H387" s="673"/>
      <c r="I387" s="675"/>
      <c r="J387" s="676"/>
      <c r="K387" s="675">
        <v>200000000</v>
      </c>
      <c r="L387" s="676"/>
      <c r="M387" s="672"/>
      <c r="N387" s="674"/>
      <c r="O387" s="675">
        <v>100000000</v>
      </c>
      <c r="P387" s="676"/>
      <c r="Q387" s="672"/>
      <c r="R387" s="673"/>
      <c r="S387" s="81"/>
    </row>
    <row r="388" spans="2:21" ht="39" customHeight="1" x14ac:dyDescent="0.2">
      <c r="B388" s="656"/>
      <c r="C388" s="102" t="s">
        <v>438</v>
      </c>
      <c r="D388" s="315" t="s">
        <v>186</v>
      </c>
      <c r="E388" s="675">
        <v>25000000</v>
      </c>
      <c r="F388" s="676"/>
      <c r="G388" s="675">
        <v>40000000</v>
      </c>
      <c r="H388" s="676"/>
      <c r="I388" s="675">
        <v>10000000</v>
      </c>
      <c r="J388" s="676"/>
      <c r="K388" s="672"/>
      <c r="L388" s="674"/>
      <c r="M388" s="675"/>
      <c r="N388" s="676"/>
      <c r="O388" s="675"/>
      <c r="P388" s="676"/>
      <c r="Q388" s="672"/>
      <c r="R388" s="673"/>
      <c r="S388" s="81"/>
    </row>
    <row r="389" spans="2:21" ht="34.5" customHeight="1" thickBot="1" x14ac:dyDescent="0.25">
      <c r="B389" s="657"/>
      <c r="C389" s="103" t="s">
        <v>439</v>
      </c>
      <c r="D389" s="319" t="s">
        <v>187</v>
      </c>
      <c r="E389" s="677"/>
      <c r="F389" s="678"/>
      <c r="G389" s="677"/>
      <c r="H389" s="679"/>
      <c r="I389" s="677"/>
      <c r="J389" s="678"/>
      <c r="K389" s="677"/>
      <c r="L389" s="678"/>
      <c r="M389" s="693">
        <v>25000000</v>
      </c>
      <c r="N389" s="694"/>
      <c r="O389" s="693">
        <v>15000000</v>
      </c>
      <c r="P389" s="694"/>
      <c r="Q389" s="677"/>
      <c r="R389" s="679"/>
      <c r="S389" s="81"/>
    </row>
    <row r="390" spans="2:21" ht="34.5" customHeight="1" x14ac:dyDescent="0.2">
      <c r="B390" s="137"/>
      <c r="C390" s="340"/>
      <c r="D390" s="323"/>
      <c r="E390" s="324"/>
      <c r="F390" s="324"/>
      <c r="G390" s="324"/>
      <c r="H390" s="324"/>
      <c r="I390" s="324"/>
      <c r="J390" s="324"/>
      <c r="K390" s="324"/>
      <c r="L390" s="324"/>
      <c r="M390" s="324"/>
      <c r="N390" s="324"/>
      <c r="O390" s="324"/>
      <c r="P390" s="324"/>
      <c r="Q390" s="324"/>
      <c r="R390" s="324"/>
      <c r="S390" s="81"/>
    </row>
    <row r="391" spans="2:21" ht="43.5" customHeight="1" thickBot="1" x14ac:dyDescent="0.25">
      <c r="B391"/>
      <c r="C391"/>
      <c r="D391"/>
      <c r="E391"/>
      <c r="F391"/>
      <c r="G391"/>
      <c r="H391"/>
      <c r="I391"/>
      <c r="J391" s="279"/>
      <c r="K391"/>
      <c r="L391"/>
      <c r="M391"/>
      <c r="N391"/>
      <c r="O391"/>
      <c r="P391"/>
      <c r="Q391"/>
      <c r="R391"/>
      <c r="S391"/>
      <c r="T391"/>
      <c r="U391"/>
    </row>
    <row r="392" spans="2:21" ht="29.25" customHeight="1" thickBot="1" x14ac:dyDescent="0.25">
      <c r="B392" s="630" t="s">
        <v>440</v>
      </c>
      <c r="C392" s="680" t="s">
        <v>188</v>
      </c>
      <c r="D392" s="681"/>
      <c r="E392" s="45" t="s">
        <v>666</v>
      </c>
      <c r="F392" s="45" t="s">
        <v>27</v>
      </c>
      <c r="G392" s="121" t="s">
        <v>130</v>
      </c>
      <c r="H392" s="305"/>
      <c r="I392"/>
      <c r="J392" s="279"/>
      <c r="K392"/>
      <c r="L392"/>
      <c r="M392"/>
      <c r="N392"/>
      <c r="O392"/>
      <c r="P392"/>
      <c r="Q392"/>
      <c r="R392"/>
      <c r="S392"/>
      <c r="T392"/>
      <c r="U392"/>
    </row>
    <row r="393" spans="2:21" ht="25.5" customHeight="1" thickBot="1" x14ac:dyDescent="0.25">
      <c r="B393" s="632"/>
      <c r="C393" s="334" t="s">
        <v>612</v>
      </c>
      <c r="D393" s="333"/>
      <c r="E393" s="350">
        <v>16500000</v>
      </c>
      <c r="F393" s="350">
        <v>0</v>
      </c>
      <c r="G393" s="351">
        <v>0</v>
      </c>
      <c r="H393" s="204"/>
      <c r="I393"/>
      <c r="J393" s="279"/>
      <c r="K393"/>
      <c r="L393"/>
      <c r="M393"/>
      <c r="N393"/>
      <c r="O393"/>
      <c r="P393"/>
      <c r="Q393"/>
      <c r="R393"/>
      <c r="S393"/>
      <c r="T393"/>
      <c r="U393"/>
    </row>
    <row r="394" spans="2:21" ht="23.25" customHeight="1" x14ac:dyDescent="0.2">
      <c r="B394" s="66"/>
      <c r="C394" s="66"/>
      <c r="D394" s="66"/>
      <c r="E394" s="66"/>
      <c r="F394" s="66"/>
      <c r="G394" s="66"/>
      <c r="H394" s="66"/>
      <c r="I394" s="66"/>
      <c r="J394" s="200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</row>
    <row r="395" spans="2:21" ht="31.5" customHeight="1" x14ac:dyDescent="0.2">
      <c r="B395"/>
      <c r="C395"/>
      <c r="D395"/>
      <c r="E395"/>
      <c r="F395"/>
      <c r="G395"/>
      <c r="H395"/>
      <c r="I395"/>
      <c r="J395" s="279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</row>
    <row r="396" spans="2:21" ht="31.5" customHeight="1" x14ac:dyDescent="0.2">
      <c r="B396" s="66"/>
      <c r="C396" s="66"/>
      <c r="D396" s="66"/>
      <c r="E396" s="66"/>
      <c r="F396" s="66"/>
      <c r="G396" s="66"/>
      <c r="H396" s="66"/>
      <c r="I396" s="66"/>
      <c r="J396" s="200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</row>
    <row r="397" spans="2:21" ht="31.5" customHeight="1" x14ac:dyDescent="0.2"/>
    <row r="398" spans="2:21" ht="42" customHeight="1" x14ac:dyDescent="0.2"/>
    <row r="399" spans="2:21" ht="31.5" customHeight="1" x14ac:dyDescent="0.2"/>
    <row r="400" spans="2:21" ht="31.5" customHeight="1" x14ac:dyDescent="0.2"/>
    <row r="401" ht="31.5" customHeight="1" x14ac:dyDescent="0.2"/>
    <row r="402" ht="31.5" customHeight="1" x14ac:dyDescent="0.2"/>
    <row r="403" ht="31.5" customHeight="1" x14ac:dyDescent="0.2"/>
    <row r="404" ht="31.5" customHeight="1" x14ac:dyDescent="0.2"/>
    <row r="405" ht="36.75" customHeight="1" x14ac:dyDescent="0.2"/>
    <row r="406" ht="31.5" customHeight="1" x14ac:dyDescent="0.2"/>
    <row r="407" ht="31.5" customHeight="1" x14ac:dyDescent="0.2"/>
    <row r="408" ht="31.5" customHeight="1" x14ac:dyDescent="0.2"/>
    <row r="409" ht="31.5" customHeight="1" x14ac:dyDescent="0.2"/>
    <row r="410" ht="31.5" customHeight="1" x14ac:dyDescent="0.2"/>
    <row r="411" ht="31.5" customHeight="1" x14ac:dyDescent="0.2"/>
    <row r="412" ht="31.5" customHeight="1" x14ac:dyDescent="0.2"/>
    <row r="413" ht="40.5" customHeight="1" x14ac:dyDescent="0.2"/>
    <row r="414" ht="40.5" customHeight="1" x14ac:dyDescent="0.2"/>
    <row r="415" ht="31.5" customHeight="1" x14ac:dyDescent="0.2"/>
    <row r="416" ht="31.5" customHeight="1" x14ac:dyDescent="0.2"/>
    <row r="417" ht="31.5" customHeight="1" x14ac:dyDescent="0.2"/>
    <row r="418" ht="31.5" customHeight="1" x14ac:dyDescent="0.2"/>
    <row r="419" ht="31.5" customHeight="1" x14ac:dyDescent="0.2"/>
    <row r="420" ht="31.5" customHeight="1" x14ac:dyDescent="0.2"/>
    <row r="421" ht="36" customHeight="1" x14ac:dyDescent="0.2"/>
    <row r="422" ht="34.5" customHeight="1" x14ac:dyDescent="0.2"/>
    <row r="423" ht="36.75" customHeight="1" x14ac:dyDescent="0.2"/>
    <row r="424" ht="31.5" customHeight="1" x14ac:dyDescent="0.2"/>
    <row r="425" ht="31.5" customHeight="1" x14ac:dyDescent="0.2"/>
    <row r="426" ht="31.5" customHeight="1" x14ac:dyDescent="0.2"/>
    <row r="427" ht="31.5" customHeight="1" x14ac:dyDescent="0.2"/>
    <row r="428" ht="31.5" customHeight="1" x14ac:dyDescent="0.2"/>
    <row r="429" ht="31.5" customHeight="1" x14ac:dyDescent="0.2"/>
    <row r="430" ht="31.5" customHeight="1" x14ac:dyDescent="0.2"/>
    <row r="431" ht="31.5" customHeight="1" x14ac:dyDescent="0.2"/>
    <row r="432" ht="31.5" customHeight="1" x14ac:dyDescent="0.2"/>
    <row r="433" ht="31.5" customHeight="1" x14ac:dyDescent="0.2"/>
    <row r="434" ht="31.5" customHeight="1" x14ac:dyDescent="0.2"/>
    <row r="435" ht="31.5" customHeight="1" x14ac:dyDescent="0.2"/>
    <row r="436" ht="31.5" customHeight="1" x14ac:dyDescent="0.2"/>
    <row r="437" ht="31.5" customHeight="1" x14ac:dyDescent="0.2"/>
    <row r="438" ht="31.5" customHeight="1" x14ac:dyDescent="0.2"/>
    <row r="439" ht="31.5" customHeight="1" x14ac:dyDescent="0.2"/>
    <row r="440" ht="31.5" customHeight="1" x14ac:dyDescent="0.2"/>
    <row r="441" ht="31.5" customHeight="1" x14ac:dyDescent="0.2"/>
    <row r="442" ht="31.5" customHeight="1" x14ac:dyDescent="0.2"/>
    <row r="443" ht="31.5" customHeight="1" x14ac:dyDescent="0.2"/>
    <row r="444" ht="31.5" customHeight="1" x14ac:dyDescent="0.2"/>
    <row r="445" ht="31.5" customHeight="1" x14ac:dyDescent="0.2"/>
    <row r="446" ht="31.5" customHeight="1" x14ac:dyDescent="0.2"/>
    <row r="447" ht="31.5" customHeight="1" x14ac:dyDescent="0.2"/>
    <row r="448" ht="40.5" customHeight="1" x14ac:dyDescent="0.2"/>
    <row r="449" ht="31.5" customHeight="1" x14ac:dyDescent="0.2"/>
    <row r="450" ht="31.5" customHeight="1" x14ac:dyDescent="0.2"/>
    <row r="451" ht="31.5" customHeight="1" x14ac:dyDescent="0.2"/>
    <row r="452" ht="31.5" customHeight="1" x14ac:dyDescent="0.2"/>
    <row r="453" ht="31.5" customHeight="1" x14ac:dyDescent="0.2"/>
    <row r="454" ht="31.5" customHeight="1" x14ac:dyDescent="0.2"/>
    <row r="455" ht="31.5" customHeight="1" x14ac:dyDescent="0.2"/>
    <row r="456" ht="31.5" customHeight="1" x14ac:dyDescent="0.2"/>
    <row r="457" ht="31.5" customHeight="1" x14ac:dyDescent="0.2"/>
    <row r="458" ht="31.5" customHeight="1" x14ac:dyDescent="0.2"/>
    <row r="459" ht="31.5" customHeight="1" x14ac:dyDescent="0.2"/>
    <row r="460" ht="31.5" customHeight="1" x14ac:dyDescent="0.2"/>
    <row r="461" ht="31.5" customHeight="1" x14ac:dyDescent="0.2"/>
    <row r="462" ht="31.5" customHeight="1" x14ac:dyDescent="0.2"/>
    <row r="463" ht="31.5" customHeight="1" x14ac:dyDescent="0.2"/>
    <row r="464" ht="31.5" customHeight="1" x14ac:dyDescent="0.2"/>
    <row r="465" ht="31.5" customHeight="1" x14ac:dyDescent="0.2"/>
    <row r="466" ht="41.25" customHeight="1" x14ac:dyDescent="0.2"/>
    <row r="467" ht="41.25" customHeight="1" x14ac:dyDescent="0.2"/>
    <row r="468" ht="31.5" customHeight="1" x14ac:dyDescent="0.2"/>
  </sheetData>
  <mergeCells count="284">
    <mergeCell ref="E388:F388"/>
    <mergeCell ref="G388:H388"/>
    <mergeCell ref="I388:J388"/>
    <mergeCell ref="K388:L388"/>
    <mergeCell ref="M388:N388"/>
    <mergeCell ref="O388:P388"/>
    <mergeCell ref="Q388:R388"/>
    <mergeCell ref="B380:C383"/>
    <mergeCell ref="D380:R380"/>
    <mergeCell ref="D382:R382"/>
    <mergeCell ref="B384:C384"/>
    <mergeCell ref="B385:B389"/>
    <mergeCell ref="E389:F389"/>
    <mergeCell ref="G389:H389"/>
    <mergeCell ref="I389:J389"/>
    <mergeCell ref="K389:L389"/>
    <mergeCell ref="M389:N389"/>
    <mergeCell ref="O389:P389"/>
    <mergeCell ref="Q389:R389"/>
    <mergeCell ref="G386:H386"/>
    <mergeCell ref="I386:J386"/>
    <mergeCell ref="K386:L386"/>
    <mergeCell ref="M386:N386"/>
    <mergeCell ref="O386:P386"/>
    <mergeCell ref="E387:F387"/>
    <mergeCell ref="G387:H387"/>
    <mergeCell ref="I387:J387"/>
    <mergeCell ref="K387:L387"/>
    <mergeCell ref="M387:N387"/>
    <mergeCell ref="O387:P387"/>
    <mergeCell ref="Q387:R387"/>
    <mergeCell ref="E383:F383"/>
    <mergeCell ref="G383:H383"/>
    <mergeCell ref="I383:J383"/>
    <mergeCell ref="K383:L383"/>
    <mergeCell ref="M383:N383"/>
    <mergeCell ref="O383:P383"/>
    <mergeCell ref="Q383:R383"/>
    <mergeCell ref="E384:F384"/>
    <mergeCell ref="G384:H384"/>
    <mergeCell ref="I384:J384"/>
    <mergeCell ref="K384:L384"/>
    <mergeCell ref="M384:N384"/>
    <mergeCell ref="O384:P384"/>
    <mergeCell ref="Q384:R384"/>
    <mergeCell ref="E385:F385"/>
    <mergeCell ref="G385:H385"/>
    <mergeCell ref="M385:N385"/>
    <mergeCell ref="O385:P385"/>
    <mergeCell ref="Q385:R385"/>
    <mergeCell ref="E386:F386"/>
    <mergeCell ref="E366:F366"/>
    <mergeCell ref="G366:H366"/>
    <mergeCell ref="I366:J366"/>
    <mergeCell ref="K366:L366"/>
    <mergeCell ref="M366:N366"/>
    <mergeCell ref="O366:P366"/>
    <mergeCell ref="Q366:R366"/>
    <mergeCell ref="K375:L375"/>
    <mergeCell ref="M375:N375"/>
    <mergeCell ref="O375:P375"/>
    <mergeCell ref="O373:P373"/>
    <mergeCell ref="Q373:R373"/>
    <mergeCell ref="Q386:R386"/>
    <mergeCell ref="K364:L364"/>
    <mergeCell ref="M364:N364"/>
    <mergeCell ref="O364:P364"/>
    <mergeCell ref="Q364:R364"/>
    <mergeCell ref="E365:F365"/>
    <mergeCell ref="G365:H365"/>
    <mergeCell ref="I365:J365"/>
    <mergeCell ref="K365:L365"/>
    <mergeCell ref="M365:N365"/>
    <mergeCell ref="O365:P365"/>
    <mergeCell ref="Q365:R365"/>
    <mergeCell ref="G361:H361"/>
    <mergeCell ref="I361:J361"/>
    <mergeCell ref="K361:L361"/>
    <mergeCell ref="M361:N361"/>
    <mergeCell ref="O361:P361"/>
    <mergeCell ref="Q361:R361"/>
    <mergeCell ref="B362:B366"/>
    <mergeCell ref="E362:F362"/>
    <mergeCell ref="G362:H362"/>
    <mergeCell ref="I362:J362"/>
    <mergeCell ref="K362:L362"/>
    <mergeCell ref="M362:N362"/>
    <mergeCell ref="O362:P362"/>
    <mergeCell ref="Q362:R362"/>
    <mergeCell ref="E363:F363"/>
    <mergeCell ref="G363:H363"/>
    <mergeCell ref="I363:J363"/>
    <mergeCell ref="K363:L363"/>
    <mergeCell ref="M363:N363"/>
    <mergeCell ref="O363:P363"/>
    <mergeCell ref="Q363:R363"/>
    <mergeCell ref="E364:F364"/>
    <mergeCell ref="G364:H364"/>
    <mergeCell ref="I364:J364"/>
    <mergeCell ref="G360:H360"/>
    <mergeCell ref="I360:J360"/>
    <mergeCell ref="K360:L360"/>
    <mergeCell ref="M360:N360"/>
    <mergeCell ref="O360:P360"/>
    <mergeCell ref="Q360:R360"/>
    <mergeCell ref="B342:B344"/>
    <mergeCell ref="K338:L338"/>
    <mergeCell ref="M338:N338"/>
    <mergeCell ref="O338:P338"/>
    <mergeCell ref="Q338:R338"/>
    <mergeCell ref="B340:B341"/>
    <mergeCell ref="B335:C339"/>
    <mergeCell ref="D338:D339"/>
    <mergeCell ref="E338:F338"/>
    <mergeCell ref="I338:J338"/>
    <mergeCell ref="G236:H236"/>
    <mergeCell ref="I236:J236"/>
    <mergeCell ref="K236:L236"/>
    <mergeCell ref="M236:N236"/>
    <mergeCell ref="O236:P236"/>
    <mergeCell ref="B238:B244"/>
    <mergeCell ref="B245:B251"/>
    <mergeCell ref="B252:B259"/>
    <mergeCell ref="B261:C266"/>
    <mergeCell ref="D265:D266"/>
    <mergeCell ref="E265:F265"/>
    <mergeCell ref="G265:H265"/>
    <mergeCell ref="I265:J265"/>
    <mergeCell ref="K265:L265"/>
    <mergeCell ref="M265:N265"/>
    <mergeCell ref="O265:P265"/>
    <mergeCell ref="G291:H291"/>
    <mergeCell ref="G292:H292"/>
    <mergeCell ref="G293:H293"/>
    <mergeCell ref="G372:H372"/>
    <mergeCell ref="G373:H373"/>
    <mergeCell ref="G374:H374"/>
    <mergeCell ref="G375:H375"/>
    <mergeCell ref="G376:H376"/>
    <mergeCell ref="G377:H377"/>
    <mergeCell ref="D369:R369"/>
    <mergeCell ref="D371:R371"/>
    <mergeCell ref="C296:F296"/>
    <mergeCell ref="C310:F310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E375:F375"/>
    <mergeCell ref="I375:J375"/>
    <mergeCell ref="B392:B393"/>
    <mergeCell ref="Q377:R377"/>
    <mergeCell ref="E378:F378"/>
    <mergeCell ref="I378:J378"/>
    <mergeCell ref="K378:L378"/>
    <mergeCell ref="M378:N378"/>
    <mergeCell ref="O378:P378"/>
    <mergeCell ref="Q378:R378"/>
    <mergeCell ref="E377:F377"/>
    <mergeCell ref="I377:J377"/>
    <mergeCell ref="K377:L377"/>
    <mergeCell ref="M377:N377"/>
    <mergeCell ref="O377:P377"/>
    <mergeCell ref="G378:H378"/>
    <mergeCell ref="C392:D392"/>
    <mergeCell ref="B374:B378"/>
    <mergeCell ref="E374:F374"/>
    <mergeCell ref="I374:J374"/>
    <mergeCell ref="K374:L374"/>
    <mergeCell ref="M374:N374"/>
    <mergeCell ref="O374:P374"/>
    <mergeCell ref="Q374:R374"/>
    <mergeCell ref="I385:J385"/>
    <mergeCell ref="K385:L385"/>
    <mergeCell ref="B373:C373"/>
    <mergeCell ref="E373:F373"/>
    <mergeCell ref="I373:J373"/>
    <mergeCell ref="K373:L373"/>
    <mergeCell ref="M373:N373"/>
    <mergeCell ref="Q375:R375"/>
    <mergeCell ref="E376:F376"/>
    <mergeCell ref="I376:J376"/>
    <mergeCell ref="K376:L376"/>
    <mergeCell ref="M376:N376"/>
    <mergeCell ref="O376:P376"/>
    <mergeCell ref="Q376:R376"/>
    <mergeCell ref="B369:C372"/>
    <mergeCell ref="E372:F372"/>
    <mergeCell ref="I372:J372"/>
    <mergeCell ref="K372:L372"/>
    <mergeCell ref="M372:N372"/>
    <mergeCell ref="O372:P372"/>
    <mergeCell ref="Q372:R372"/>
    <mergeCell ref="B346:C350"/>
    <mergeCell ref="D349:D350"/>
    <mergeCell ref="E349:F349"/>
    <mergeCell ref="I349:J349"/>
    <mergeCell ref="K349:L349"/>
    <mergeCell ref="M349:N349"/>
    <mergeCell ref="O349:P349"/>
    <mergeCell ref="Q349:R349"/>
    <mergeCell ref="B351:B352"/>
    <mergeCell ref="B353:B355"/>
    <mergeCell ref="G349:H349"/>
    <mergeCell ref="B361:C361"/>
    <mergeCell ref="E361:F361"/>
    <mergeCell ref="B357:C360"/>
    <mergeCell ref="D357:R357"/>
    <mergeCell ref="D359:R359"/>
    <mergeCell ref="E360:F360"/>
    <mergeCell ref="B309:B313"/>
    <mergeCell ref="G338:H338"/>
    <mergeCell ref="B330:B332"/>
    <mergeCell ref="B323:C327"/>
    <mergeCell ref="D326:D327"/>
    <mergeCell ref="E326:F326"/>
    <mergeCell ref="G326:H326"/>
    <mergeCell ref="I326:J326"/>
    <mergeCell ref="B328:B329"/>
    <mergeCell ref="K326:L326"/>
    <mergeCell ref="M326:N326"/>
    <mergeCell ref="O326:P326"/>
    <mergeCell ref="Q326:R326"/>
    <mergeCell ref="C301:D301"/>
    <mergeCell ref="C302:D302"/>
    <mergeCell ref="C303:D303"/>
    <mergeCell ref="C304:D304"/>
    <mergeCell ref="C305:D305"/>
    <mergeCell ref="C306:D306"/>
    <mergeCell ref="C307:D307"/>
    <mergeCell ref="C293:D293"/>
    <mergeCell ref="E293:F293"/>
    <mergeCell ref="B295:B299"/>
    <mergeCell ref="C299:D299"/>
    <mergeCell ref="C300:D300"/>
    <mergeCell ref="B216:B222"/>
    <mergeCell ref="B223:B230"/>
    <mergeCell ref="C291:D291"/>
    <mergeCell ref="E291:F291"/>
    <mergeCell ref="C292:D292"/>
    <mergeCell ref="E292:F292"/>
    <mergeCell ref="B232:C237"/>
    <mergeCell ref="D236:D237"/>
    <mergeCell ref="E236:F236"/>
    <mergeCell ref="B267:B273"/>
    <mergeCell ref="B274:B280"/>
    <mergeCell ref="B281:B288"/>
    <mergeCell ref="I207:J207"/>
    <mergeCell ref="K207:L207"/>
    <mergeCell ref="M207:N207"/>
    <mergeCell ref="O207:P207"/>
    <mergeCell ref="B209:B215"/>
    <mergeCell ref="B185:B192"/>
    <mergeCell ref="B193:B201"/>
    <mergeCell ref="B203:C208"/>
    <mergeCell ref="D207:D208"/>
    <mergeCell ref="E207:F207"/>
    <mergeCell ref="G207:H207"/>
    <mergeCell ref="Y175:Z175"/>
    <mergeCell ref="AA175:AB175"/>
    <mergeCell ref="AC175:AD175"/>
    <mergeCell ref="B177:B184"/>
    <mergeCell ref="K175:L175"/>
    <mergeCell ref="M175:N175"/>
    <mergeCell ref="O175:P175"/>
    <mergeCell ref="Q175:R175"/>
    <mergeCell ref="S175:T175"/>
    <mergeCell ref="U175:V175"/>
    <mergeCell ref="G175:H175"/>
    <mergeCell ref="J2:J3"/>
    <mergeCell ref="B172:C176"/>
    <mergeCell ref="D175:D176"/>
    <mergeCell ref="E175:F175"/>
    <mergeCell ref="I175:J175"/>
    <mergeCell ref="W175:X175"/>
    <mergeCell ref="F162:I164"/>
    <mergeCell ref="F19:I19"/>
    <mergeCell ref="F61:I61"/>
    <mergeCell ref="J162:J163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H13:I13 E13:G13 E108:I108 E155:I155 E164 E156:I156 E142:I142 E145:I145 E149:J149 E152:J152 J150:J151 H153:H154 J153:J154 E148:I148 H150 H151" unlockedFormula="1"/>
    <ignoredError sqref="E16 E88:I88 E116 E159" formulaRange="1"/>
    <ignoredError sqref="J19 J61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249"/>
  </sheetPr>
  <dimension ref="B1:R401"/>
  <sheetViews>
    <sheetView tabSelected="1" topLeftCell="C65" zoomScale="70" zoomScaleNormal="70" workbookViewId="0">
      <selection activeCell="D70" sqref="D70"/>
    </sheetView>
  </sheetViews>
  <sheetFormatPr defaultRowHeight="12.75" x14ac:dyDescent="0.2"/>
  <cols>
    <col min="1" max="1" width="3.5703125" style="1" customWidth="1"/>
    <col min="2" max="2" width="11.7109375" style="1" customWidth="1"/>
    <col min="3" max="3" width="15.7109375" style="2" customWidth="1"/>
    <col min="4" max="4" width="70.42578125" style="1" customWidth="1"/>
    <col min="5" max="5" width="20" style="1" customWidth="1"/>
    <col min="6" max="6" width="17.85546875" style="1" customWidth="1"/>
    <col min="7" max="7" width="18" style="1" customWidth="1"/>
    <col min="8" max="8" width="19.28515625" style="1" customWidth="1"/>
    <col min="9" max="9" width="19.28515625" style="2" customWidth="1"/>
    <col min="10" max="10" width="16.5703125" style="1" customWidth="1"/>
    <col min="11" max="11" width="18.28515625" style="1" customWidth="1"/>
    <col min="12" max="12" width="16.5703125" style="1" customWidth="1"/>
    <col min="13" max="13" width="18.5703125" style="1" customWidth="1"/>
    <col min="14" max="14" width="16.5703125" style="1" customWidth="1"/>
    <col min="15" max="15" width="20.5703125" style="1" customWidth="1"/>
    <col min="16" max="19" width="16.5703125" style="1" customWidth="1"/>
    <col min="20" max="20" width="14" style="1" customWidth="1"/>
    <col min="21" max="16384" width="9.140625" style="1"/>
  </cols>
  <sheetData>
    <row r="1" spans="3:9" ht="23.25" customHeight="1" thickBot="1" x14ac:dyDescent="0.25">
      <c r="C1" s="140"/>
      <c r="D1" s="21"/>
    </row>
    <row r="2" spans="3:9" ht="51.75" customHeight="1" thickBot="1" x14ac:dyDescent="0.25">
      <c r="C2" s="695" t="s">
        <v>1</v>
      </c>
      <c r="D2" s="352" t="s">
        <v>679</v>
      </c>
      <c r="E2" s="359" t="s">
        <v>0</v>
      </c>
      <c r="F2" s="23" t="s">
        <v>26</v>
      </c>
      <c r="G2" s="23" t="s">
        <v>27</v>
      </c>
      <c r="H2" s="23" t="s">
        <v>669</v>
      </c>
      <c r="I2" s="697" t="s">
        <v>70</v>
      </c>
    </row>
    <row r="3" spans="3:9" ht="46.5" customHeight="1" thickBot="1" x14ac:dyDescent="0.25">
      <c r="C3" s="696"/>
      <c r="D3" s="104" t="s">
        <v>2</v>
      </c>
      <c r="E3" s="24" t="s">
        <v>680</v>
      </c>
      <c r="F3" s="174" t="s">
        <v>666</v>
      </c>
      <c r="G3" s="175" t="s">
        <v>667</v>
      </c>
      <c r="H3" s="175" t="s">
        <v>681</v>
      </c>
      <c r="I3" s="698"/>
    </row>
    <row r="4" spans="3:9" ht="33" customHeight="1" thickBot="1" x14ac:dyDescent="0.25">
      <c r="C4" s="354">
        <v>11</v>
      </c>
      <c r="D4" s="488" t="s">
        <v>4</v>
      </c>
      <c r="E4" s="369">
        <f>E5+E6+E7+E13+E16+E19+E20</f>
        <v>2106600000</v>
      </c>
      <c r="F4" s="90">
        <f t="shared" ref="F4:H4" si="0">F5+F6+F7+F13+F16+F19+F20</f>
        <v>498000000</v>
      </c>
      <c r="G4" s="90">
        <f t="shared" si="0"/>
        <v>146600000</v>
      </c>
      <c r="H4" s="370">
        <f t="shared" si="0"/>
        <v>150000</v>
      </c>
      <c r="I4" s="363">
        <f>SUM(E4:H4)</f>
        <v>2751350000</v>
      </c>
    </row>
    <row r="5" spans="3:9" ht="29.25" customHeight="1" x14ac:dyDescent="0.2">
      <c r="C5" s="355" t="s">
        <v>340</v>
      </c>
      <c r="D5" s="244" t="s">
        <v>5</v>
      </c>
      <c r="E5" s="381">
        <v>25400000</v>
      </c>
      <c r="F5" s="382">
        <v>12900000</v>
      </c>
      <c r="G5" s="382">
        <v>5700000</v>
      </c>
      <c r="H5" s="380">
        <v>150000</v>
      </c>
      <c r="I5" s="364">
        <f>SUM(E5:H5)</f>
        <v>44150000</v>
      </c>
    </row>
    <row r="6" spans="3:9" ht="27.75" customHeight="1" x14ac:dyDescent="0.2">
      <c r="C6" s="356" t="s">
        <v>341</v>
      </c>
      <c r="D6" s="361" t="s">
        <v>121</v>
      </c>
      <c r="E6" s="383">
        <v>0</v>
      </c>
      <c r="F6" s="384"/>
      <c r="G6" s="384"/>
      <c r="H6" s="385"/>
      <c r="I6" s="365">
        <f>SUM(E6:H6)</f>
        <v>0</v>
      </c>
    </row>
    <row r="7" spans="3:9" ht="29.25" customHeight="1" x14ac:dyDescent="0.2">
      <c r="C7" s="356" t="s">
        <v>342</v>
      </c>
      <c r="D7" s="246" t="s">
        <v>6</v>
      </c>
      <c r="E7" s="379">
        <f>SUM(E8:E12)</f>
        <v>1892100000</v>
      </c>
      <c r="F7" s="91">
        <f>SUM(F8:F12)</f>
        <v>412600000</v>
      </c>
      <c r="G7" s="91">
        <f t="shared" ref="G7:H7" si="1">SUM(G8:G12)</f>
        <v>106500000</v>
      </c>
      <c r="H7" s="91">
        <f t="shared" si="1"/>
        <v>0</v>
      </c>
      <c r="I7" s="366">
        <f>SUM(E7:H7)</f>
        <v>2411200000</v>
      </c>
    </row>
    <row r="8" spans="3:9" ht="42" customHeight="1" x14ac:dyDescent="0.2">
      <c r="C8" s="357" t="s">
        <v>343</v>
      </c>
      <c r="D8" s="247" t="s">
        <v>109</v>
      </c>
      <c r="E8" s="372"/>
      <c r="F8" s="3">
        <v>98500000</v>
      </c>
      <c r="G8" s="3"/>
      <c r="H8" s="33"/>
      <c r="I8" s="365">
        <f t="shared" ref="I8:I12" si="2">SUM(E8:H8)</f>
        <v>98500000</v>
      </c>
    </row>
    <row r="9" spans="3:9" ht="41.25" customHeight="1" x14ac:dyDescent="0.2">
      <c r="C9" s="357" t="s">
        <v>344</v>
      </c>
      <c r="D9" s="247" t="s">
        <v>110</v>
      </c>
      <c r="E9" s="373"/>
      <c r="F9" s="3"/>
      <c r="G9" s="3"/>
      <c r="H9" s="33"/>
      <c r="I9" s="365">
        <f t="shared" si="2"/>
        <v>0</v>
      </c>
    </row>
    <row r="10" spans="3:9" ht="41.25" customHeight="1" x14ac:dyDescent="0.2">
      <c r="C10" s="357" t="s">
        <v>345</v>
      </c>
      <c r="D10" s="248" t="s">
        <v>196</v>
      </c>
      <c r="E10" s="373"/>
      <c r="F10" s="3">
        <v>195800000</v>
      </c>
      <c r="G10" s="3">
        <v>106500000</v>
      </c>
      <c r="H10" s="33"/>
      <c r="I10" s="365">
        <f t="shared" si="2"/>
        <v>302300000</v>
      </c>
    </row>
    <row r="11" spans="3:9" ht="41.25" customHeight="1" x14ac:dyDescent="0.2">
      <c r="C11" s="357" t="s">
        <v>346</v>
      </c>
      <c r="D11" s="248" t="s">
        <v>197</v>
      </c>
      <c r="E11" s="3">
        <v>1892100000</v>
      </c>
      <c r="F11" s="3">
        <v>118300000</v>
      </c>
      <c r="G11" s="3"/>
      <c r="H11" s="33"/>
      <c r="I11" s="365">
        <f t="shared" si="2"/>
        <v>2010400000</v>
      </c>
    </row>
    <row r="12" spans="3:9" ht="41.25" customHeight="1" x14ac:dyDescent="0.2">
      <c r="C12" s="357" t="s">
        <v>347</v>
      </c>
      <c r="D12" s="248" t="s">
        <v>198</v>
      </c>
      <c r="E12" s="373"/>
      <c r="F12" s="3"/>
      <c r="G12" s="3"/>
      <c r="H12" s="33"/>
      <c r="I12" s="365">
        <f t="shared" si="2"/>
        <v>0</v>
      </c>
    </row>
    <row r="13" spans="3:9" ht="30" customHeight="1" x14ac:dyDescent="0.2">
      <c r="C13" s="356" t="s">
        <v>348</v>
      </c>
      <c r="D13" s="246" t="s">
        <v>199</v>
      </c>
      <c r="E13" s="371">
        <f>SUM(E14:E15)</f>
        <v>60800000</v>
      </c>
      <c r="F13" s="91">
        <f t="shared" ref="F13" si="3">SUM(F14:F15)</f>
        <v>25900000</v>
      </c>
      <c r="G13" s="91">
        <f t="shared" ref="G13" si="4">SUM(G14:G15)</f>
        <v>15200000</v>
      </c>
      <c r="H13" s="360">
        <f t="shared" ref="H13" si="5">SUM(H14:H15)</f>
        <v>0</v>
      </c>
      <c r="I13" s="366">
        <f>SUM(E13:H13)</f>
        <v>101900000</v>
      </c>
    </row>
    <row r="14" spans="3:9" ht="38.25" customHeight="1" x14ac:dyDescent="0.2">
      <c r="C14" s="568" t="s">
        <v>349</v>
      </c>
      <c r="D14" s="569" t="s">
        <v>200</v>
      </c>
      <c r="E14" s="570">
        <v>41200000</v>
      </c>
      <c r="F14" s="571">
        <v>25900000</v>
      </c>
      <c r="G14" s="571">
        <v>15200000</v>
      </c>
      <c r="H14" s="572"/>
      <c r="I14" s="365">
        <f t="shared" ref="I14:I15" si="6">SUM(E14:H14)</f>
        <v>82300000</v>
      </c>
    </row>
    <row r="15" spans="3:9" ht="35.25" customHeight="1" x14ac:dyDescent="0.2">
      <c r="C15" s="357" t="s">
        <v>350</v>
      </c>
      <c r="D15" s="248" t="s">
        <v>201</v>
      </c>
      <c r="E15" s="383">
        <v>19600000</v>
      </c>
      <c r="F15" s="3"/>
      <c r="G15" s="3"/>
      <c r="H15" s="33"/>
      <c r="I15" s="365">
        <f t="shared" si="6"/>
        <v>19600000</v>
      </c>
    </row>
    <row r="16" spans="3:9" ht="28.5" customHeight="1" x14ac:dyDescent="0.2">
      <c r="C16" s="356" t="s">
        <v>351</v>
      </c>
      <c r="D16" s="246" t="s">
        <v>71</v>
      </c>
      <c r="E16" s="379">
        <f>SUM(E17:E18)</f>
        <v>27100000</v>
      </c>
      <c r="F16" s="91">
        <f t="shared" ref="F16:H16" si="7">SUM(F17:F18)</f>
        <v>21600000</v>
      </c>
      <c r="G16" s="91">
        <f t="shared" si="7"/>
        <v>19200000</v>
      </c>
      <c r="H16" s="360">
        <f t="shared" si="7"/>
        <v>0</v>
      </c>
      <c r="I16" s="366">
        <f>SUM(E16:H16)</f>
        <v>67900000</v>
      </c>
    </row>
    <row r="17" spans="3:9" ht="39.75" customHeight="1" x14ac:dyDescent="0.2">
      <c r="C17" s="568" t="s">
        <v>352</v>
      </c>
      <c r="D17" s="569" t="s">
        <v>111</v>
      </c>
      <c r="E17" s="573"/>
      <c r="F17" s="571"/>
      <c r="G17" s="574">
        <v>10300000</v>
      </c>
      <c r="H17" s="374"/>
      <c r="I17" s="365">
        <f t="shared" ref="I17:I18" si="8">SUM(E17:H17)</f>
        <v>10300000</v>
      </c>
    </row>
    <row r="18" spans="3:9" ht="39.75" customHeight="1" x14ac:dyDescent="0.2">
      <c r="C18" s="357" t="s">
        <v>353</v>
      </c>
      <c r="D18" s="248" t="s">
        <v>112</v>
      </c>
      <c r="E18" s="377">
        <v>27100000</v>
      </c>
      <c r="F18" s="183">
        <v>21600000</v>
      </c>
      <c r="G18" s="378">
        <v>8900000</v>
      </c>
      <c r="H18" s="374"/>
      <c r="I18" s="365">
        <f t="shared" si="8"/>
        <v>57600000</v>
      </c>
    </row>
    <row r="19" spans="3:9" ht="39.75" customHeight="1" x14ac:dyDescent="0.2">
      <c r="C19" s="356" t="s">
        <v>354</v>
      </c>
      <c r="D19" s="245" t="s">
        <v>7</v>
      </c>
      <c r="E19" s="269">
        <v>21200000</v>
      </c>
      <c r="F19" s="715"/>
      <c r="G19" s="716"/>
      <c r="H19" s="717"/>
      <c r="I19" s="367">
        <f>E19</f>
        <v>21200000</v>
      </c>
    </row>
    <row r="20" spans="3:9" ht="37.5" customHeight="1" thickBot="1" x14ac:dyDescent="0.25">
      <c r="C20" s="358" t="s">
        <v>339</v>
      </c>
      <c r="D20" s="362" t="s">
        <v>123</v>
      </c>
      <c r="E20" s="375">
        <v>80000000</v>
      </c>
      <c r="F20" s="185">
        <v>25000000</v>
      </c>
      <c r="G20" s="25"/>
      <c r="H20" s="376"/>
      <c r="I20" s="368">
        <f>SUM(E20:H20)</f>
        <v>105000000</v>
      </c>
    </row>
    <row r="21" spans="3:9" ht="31.5" customHeight="1" thickBot="1" x14ac:dyDescent="0.25"/>
    <row r="22" spans="3:9" ht="31.5" customHeight="1" thickBot="1" x14ac:dyDescent="0.25">
      <c r="C22" s="141">
        <v>21</v>
      </c>
      <c r="D22" s="402" t="s">
        <v>8</v>
      </c>
      <c r="E22" s="431">
        <f>E23+E32+E36+E59+E63+E66+E69+E88+E100+E105+E114</f>
        <v>7254305000</v>
      </c>
      <c r="F22" s="431">
        <f t="shared" ref="F22:H22" si="9">F23+F32+F36+F59+F63+F66+F69+F88+F100+F105+F114</f>
        <v>868500500</v>
      </c>
      <c r="G22" s="431">
        <f t="shared" si="9"/>
        <v>2120000</v>
      </c>
      <c r="H22" s="431">
        <f t="shared" si="9"/>
        <v>995000</v>
      </c>
      <c r="I22" s="285">
        <f>SUM(E22:H22)</f>
        <v>8125920500</v>
      </c>
    </row>
    <row r="23" spans="3:9" ht="30.75" customHeight="1" x14ac:dyDescent="0.2">
      <c r="C23" s="142" t="s">
        <v>498</v>
      </c>
      <c r="D23" s="246" t="s">
        <v>9</v>
      </c>
      <c r="E23" s="456">
        <f>E24+E28</f>
        <v>1492905000</v>
      </c>
      <c r="F23" s="457">
        <f t="shared" ref="F23:H23" si="10">F24+F28</f>
        <v>46920000</v>
      </c>
      <c r="G23" s="457">
        <f t="shared" si="10"/>
        <v>0</v>
      </c>
      <c r="H23" s="457">
        <f t="shared" si="10"/>
        <v>0</v>
      </c>
      <c r="I23" s="287">
        <f>SUM(E23:H23)</f>
        <v>1539825000</v>
      </c>
    </row>
    <row r="24" spans="3:9" ht="30.75" customHeight="1" x14ac:dyDescent="0.2">
      <c r="C24" s="143" t="s">
        <v>499</v>
      </c>
      <c r="D24" s="403" t="s">
        <v>28</v>
      </c>
      <c r="E24" s="458">
        <f>SUM(E25:E27)</f>
        <v>872505000</v>
      </c>
      <c r="F24" s="458">
        <f t="shared" ref="F24:H24" si="11">SUM(F25:F27)</f>
        <v>12170000</v>
      </c>
      <c r="G24" s="458">
        <f t="shared" si="11"/>
        <v>0</v>
      </c>
      <c r="H24" s="458">
        <f t="shared" si="11"/>
        <v>0</v>
      </c>
      <c r="I24" s="287">
        <f>SUM(E24:H24)</f>
        <v>884675000</v>
      </c>
    </row>
    <row r="25" spans="3:9" ht="30.75" customHeight="1" x14ac:dyDescent="0.2">
      <c r="C25" s="144" t="s">
        <v>500</v>
      </c>
      <c r="D25" s="404" t="s">
        <v>10</v>
      </c>
      <c r="E25" s="388">
        <v>305400000</v>
      </c>
      <c r="F25" s="207"/>
      <c r="G25" s="460"/>
      <c r="H25" s="460"/>
      <c r="I25" s="289">
        <f>SUM(E25:H25)</f>
        <v>305400000</v>
      </c>
    </row>
    <row r="26" spans="3:9" ht="30.75" customHeight="1" x14ac:dyDescent="0.2">
      <c r="C26" s="144" t="s">
        <v>501</v>
      </c>
      <c r="D26" s="404" t="s">
        <v>68</v>
      </c>
      <c r="E26" s="388">
        <v>423800000</v>
      </c>
      <c r="F26" s="208"/>
      <c r="G26" s="462"/>
      <c r="H26" s="462"/>
      <c r="I26" s="289">
        <f t="shared" ref="I26:I27" si="12">SUM(E26:H26)</f>
        <v>423800000</v>
      </c>
    </row>
    <row r="27" spans="3:9" ht="30.75" customHeight="1" x14ac:dyDescent="0.2">
      <c r="C27" s="144" t="s">
        <v>629</v>
      </c>
      <c r="D27" s="404" t="s">
        <v>624</v>
      </c>
      <c r="E27" s="388">
        <v>143305000</v>
      </c>
      <c r="F27" s="207">
        <v>12170000</v>
      </c>
      <c r="G27" s="462"/>
      <c r="H27" s="462"/>
      <c r="I27" s="289">
        <f t="shared" si="12"/>
        <v>155475000</v>
      </c>
    </row>
    <row r="28" spans="3:9" ht="30.75" customHeight="1" x14ac:dyDescent="0.2">
      <c r="C28" s="143" t="s">
        <v>502</v>
      </c>
      <c r="D28" s="403" t="s">
        <v>29</v>
      </c>
      <c r="E28" s="458">
        <f>SUM(E29:E31)</f>
        <v>620400000</v>
      </c>
      <c r="F28" s="458">
        <f t="shared" ref="F28" si="13">SUM(F29:F31)</f>
        <v>34750000</v>
      </c>
      <c r="G28" s="458">
        <f t="shared" ref="G28" si="14">SUM(G29:G31)</f>
        <v>0</v>
      </c>
      <c r="H28" s="458">
        <f t="shared" ref="H28" si="15">SUM(H29:H31)</f>
        <v>0</v>
      </c>
      <c r="I28" s="287">
        <f>SUM(E28:H28)</f>
        <v>655150000</v>
      </c>
    </row>
    <row r="29" spans="3:9" ht="30.75" customHeight="1" x14ac:dyDescent="0.2">
      <c r="C29" s="145" t="s">
        <v>503</v>
      </c>
      <c r="D29" s="575" t="s">
        <v>10</v>
      </c>
      <c r="E29" s="576">
        <v>163600000</v>
      </c>
      <c r="F29" s="207"/>
      <c r="G29" s="460"/>
      <c r="H29" s="460"/>
      <c r="I29" s="289">
        <f>SUM(E29:H29)</f>
        <v>163600000</v>
      </c>
    </row>
    <row r="30" spans="3:9" ht="30.75" customHeight="1" x14ac:dyDescent="0.2">
      <c r="C30" s="145" t="s">
        <v>504</v>
      </c>
      <c r="D30" s="404" t="s">
        <v>68</v>
      </c>
      <c r="E30" s="388">
        <v>298300000</v>
      </c>
      <c r="F30" s="208"/>
      <c r="G30" s="462"/>
      <c r="H30" s="462"/>
      <c r="I30" s="289">
        <f t="shared" ref="I30:I31" si="16">SUM(E30:H30)</f>
        <v>298300000</v>
      </c>
    </row>
    <row r="31" spans="3:9" ht="30.75" customHeight="1" x14ac:dyDescent="0.2">
      <c r="C31" s="145" t="s">
        <v>630</v>
      </c>
      <c r="D31" s="404" t="s">
        <v>624</v>
      </c>
      <c r="E31" s="388">
        <v>158500000</v>
      </c>
      <c r="F31" s="207">
        <v>34750000</v>
      </c>
      <c r="G31" s="462"/>
      <c r="H31" s="462"/>
      <c r="I31" s="289">
        <f t="shared" si="16"/>
        <v>193250000</v>
      </c>
    </row>
    <row r="32" spans="3:9" ht="33" customHeight="1" x14ac:dyDescent="0.2">
      <c r="C32" s="146" t="s">
        <v>505</v>
      </c>
      <c r="D32" s="405" t="s">
        <v>11</v>
      </c>
      <c r="E32" s="458">
        <f>SUM(E33:E35)</f>
        <v>387400000</v>
      </c>
      <c r="F32" s="458">
        <f t="shared" ref="F32" si="17">SUM(F33:F35)</f>
        <v>0</v>
      </c>
      <c r="G32" s="458">
        <f t="shared" ref="G32" si="18">SUM(G33:G35)</f>
        <v>0</v>
      </c>
      <c r="H32" s="458">
        <f t="shared" ref="H32" si="19">SUM(H33:H35)</f>
        <v>0</v>
      </c>
      <c r="I32" s="300">
        <f>SUM(E32:H32)</f>
        <v>387400000</v>
      </c>
    </row>
    <row r="33" spans="3:9" ht="33" customHeight="1" x14ac:dyDescent="0.2">
      <c r="C33" s="144" t="s">
        <v>506</v>
      </c>
      <c r="D33" s="577" t="s">
        <v>10</v>
      </c>
      <c r="E33" s="576">
        <v>128600000</v>
      </c>
      <c r="F33" s="207"/>
      <c r="G33" s="460"/>
      <c r="H33" s="460"/>
      <c r="I33" s="289">
        <f>SUM(E33:H33)</f>
        <v>128600000</v>
      </c>
    </row>
    <row r="34" spans="3:9" ht="33" customHeight="1" x14ac:dyDescent="0.2">
      <c r="C34" s="144" t="s">
        <v>507</v>
      </c>
      <c r="D34" s="406" t="s">
        <v>68</v>
      </c>
      <c r="E34" s="388">
        <v>167300000</v>
      </c>
      <c r="F34" s="208"/>
      <c r="G34" s="462"/>
      <c r="H34" s="462"/>
      <c r="I34" s="289">
        <f t="shared" ref="I34:I41" si="20">SUM(E34:H34)</f>
        <v>167300000</v>
      </c>
    </row>
    <row r="35" spans="3:9" ht="36" customHeight="1" x14ac:dyDescent="0.2">
      <c r="C35" s="144" t="s">
        <v>631</v>
      </c>
      <c r="D35" s="406" t="s">
        <v>624</v>
      </c>
      <c r="E35" s="388">
        <v>91500000</v>
      </c>
      <c r="F35" s="207"/>
      <c r="G35" s="462"/>
      <c r="H35" s="462"/>
      <c r="I35" s="289">
        <f t="shared" si="20"/>
        <v>91500000</v>
      </c>
    </row>
    <row r="36" spans="3:9" ht="30.75" customHeight="1" x14ac:dyDescent="0.2">
      <c r="C36" s="146" t="s">
        <v>508</v>
      </c>
      <c r="D36" s="407" t="s">
        <v>12</v>
      </c>
      <c r="E36" s="463">
        <f>E37+E38+E42+E47+E51+E55</f>
        <v>998450000</v>
      </c>
      <c r="F36" s="463">
        <f t="shared" ref="F36:H36" si="21">F37+F38+F42+F47+F51+F55</f>
        <v>140150000</v>
      </c>
      <c r="G36" s="463">
        <f t="shared" si="21"/>
        <v>0</v>
      </c>
      <c r="H36" s="463">
        <f t="shared" si="21"/>
        <v>0</v>
      </c>
      <c r="I36" s="287">
        <f>SUM(E36:H36)</f>
        <v>1138600000</v>
      </c>
    </row>
    <row r="37" spans="3:9" ht="30.75" customHeight="1" x14ac:dyDescent="0.2">
      <c r="C37" s="147" t="s">
        <v>509</v>
      </c>
      <c r="D37" s="408" t="s">
        <v>13</v>
      </c>
      <c r="E37" s="464"/>
      <c r="F37" s="465"/>
      <c r="G37" s="465"/>
      <c r="H37" s="465"/>
      <c r="I37" s="289">
        <f t="shared" si="20"/>
        <v>0</v>
      </c>
    </row>
    <row r="38" spans="3:9" ht="30.75" customHeight="1" x14ac:dyDescent="0.2">
      <c r="C38" s="148" t="s">
        <v>510</v>
      </c>
      <c r="D38" s="409" t="s">
        <v>14</v>
      </c>
      <c r="E38" s="458">
        <f>SUM(E39:E41)</f>
        <v>867800000</v>
      </c>
      <c r="F38" s="458">
        <f t="shared" ref="F38:H38" si="22">SUM(F39:F41)</f>
        <v>41750000</v>
      </c>
      <c r="G38" s="458">
        <f t="shared" si="22"/>
        <v>0</v>
      </c>
      <c r="H38" s="458">
        <f t="shared" si="22"/>
        <v>0</v>
      </c>
      <c r="I38" s="287">
        <f>SUM(E38:H38)</f>
        <v>909550000</v>
      </c>
    </row>
    <row r="39" spans="3:9" ht="33.75" customHeight="1" x14ac:dyDescent="0.2">
      <c r="C39" s="144" t="s">
        <v>511</v>
      </c>
      <c r="D39" s="578" t="s">
        <v>30</v>
      </c>
      <c r="E39" s="576">
        <v>256300000</v>
      </c>
      <c r="F39" s="207"/>
      <c r="G39" s="467"/>
      <c r="H39" s="467"/>
      <c r="I39" s="289">
        <f t="shared" si="20"/>
        <v>256300000</v>
      </c>
    </row>
    <row r="40" spans="3:9" ht="33.75" customHeight="1" x14ac:dyDescent="0.2">
      <c r="C40" s="144" t="s">
        <v>512</v>
      </c>
      <c r="D40" s="410" t="s">
        <v>623</v>
      </c>
      <c r="E40" s="388">
        <v>418700000</v>
      </c>
      <c r="F40" s="208"/>
      <c r="G40" s="467"/>
      <c r="H40" s="467"/>
      <c r="I40" s="289">
        <f t="shared" si="20"/>
        <v>418700000</v>
      </c>
    </row>
    <row r="41" spans="3:9" ht="33.75" customHeight="1" x14ac:dyDescent="0.2">
      <c r="C41" s="144" t="s">
        <v>632</v>
      </c>
      <c r="D41" s="410" t="s">
        <v>624</v>
      </c>
      <c r="E41" s="388">
        <v>192800000</v>
      </c>
      <c r="F41" s="207">
        <v>41750000</v>
      </c>
      <c r="G41" s="467"/>
      <c r="H41" s="467"/>
      <c r="I41" s="289">
        <f t="shared" si="20"/>
        <v>234550000</v>
      </c>
    </row>
    <row r="42" spans="3:9" ht="30.75" customHeight="1" x14ac:dyDescent="0.2">
      <c r="C42" s="149" t="s">
        <v>513</v>
      </c>
      <c r="D42" s="411" t="s">
        <v>16</v>
      </c>
      <c r="E42" s="458">
        <f>SUM(E43:E46)</f>
        <v>60000000</v>
      </c>
      <c r="F42" s="458">
        <f t="shared" ref="F42:H42" si="23">SUM(F43:F46)</f>
        <v>25000000</v>
      </c>
      <c r="G42" s="458">
        <f t="shared" si="23"/>
        <v>0</v>
      </c>
      <c r="H42" s="458">
        <f t="shared" si="23"/>
        <v>0</v>
      </c>
      <c r="I42" s="300">
        <f>SUM(E42:H42)</f>
        <v>85000000</v>
      </c>
    </row>
    <row r="43" spans="3:9" ht="30.75" customHeight="1" x14ac:dyDescent="0.2">
      <c r="C43" s="144" t="s">
        <v>514</v>
      </c>
      <c r="D43" s="410" t="s">
        <v>30</v>
      </c>
      <c r="E43" s="466"/>
      <c r="F43" s="467"/>
      <c r="G43" s="467"/>
      <c r="H43" s="467"/>
      <c r="I43" s="289">
        <f t="shared" ref="I43:I46" si="24">SUM(E43:H43)</f>
        <v>0</v>
      </c>
    </row>
    <row r="44" spans="3:9" ht="30.75" customHeight="1" x14ac:dyDescent="0.2">
      <c r="C44" s="144" t="s">
        <v>515</v>
      </c>
      <c r="D44" s="410" t="s">
        <v>623</v>
      </c>
      <c r="E44" s="466"/>
      <c r="F44" s="467"/>
      <c r="G44" s="467"/>
      <c r="H44" s="467"/>
      <c r="I44" s="289">
        <f t="shared" si="24"/>
        <v>0</v>
      </c>
    </row>
    <row r="45" spans="3:9" ht="30.75" customHeight="1" x14ac:dyDescent="0.2">
      <c r="C45" s="144" t="s">
        <v>516</v>
      </c>
      <c r="D45" s="410" t="s">
        <v>624</v>
      </c>
      <c r="E45" s="466"/>
      <c r="F45" s="467">
        <v>25000000</v>
      </c>
      <c r="G45" s="467"/>
      <c r="H45" s="467"/>
      <c r="I45" s="289">
        <f t="shared" si="24"/>
        <v>25000000</v>
      </c>
    </row>
    <row r="46" spans="3:9" ht="30.75" customHeight="1" x14ac:dyDescent="0.2">
      <c r="C46" s="144" t="s">
        <v>633</v>
      </c>
      <c r="D46" s="410" t="s">
        <v>116</v>
      </c>
      <c r="E46" s="388">
        <v>60000000</v>
      </c>
      <c r="F46" s="467"/>
      <c r="G46" s="467"/>
      <c r="H46" s="467"/>
      <c r="I46" s="289">
        <f t="shared" si="24"/>
        <v>60000000</v>
      </c>
    </row>
    <row r="47" spans="3:9" ht="30.75" customHeight="1" x14ac:dyDescent="0.2">
      <c r="C47" s="149" t="s">
        <v>517</v>
      </c>
      <c r="D47" s="411" t="s">
        <v>15</v>
      </c>
      <c r="E47" s="458">
        <f>SUM(E48:E50)</f>
        <v>0</v>
      </c>
      <c r="F47" s="458">
        <f t="shared" ref="F47" si="25">SUM(F48:F50)</f>
        <v>10000000</v>
      </c>
      <c r="G47" s="458">
        <f t="shared" ref="G47" si="26">SUM(G48:G50)</f>
        <v>0</v>
      </c>
      <c r="H47" s="458">
        <f t="shared" ref="H47" si="27">SUM(H48:H50)</f>
        <v>0</v>
      </c>
      <c r="I47" s="287">
        <f>SUM(E47:H47)</f>
        <v>10000000</v>
      </c>
    </row>
    <row r="48" spans="3:9" ht="31.5" customHeight="1" x14ac:dyDescent="0.2">
      <c r="C48" s="144" t="s">
        <v>518</v>
      </c>
      <c r="D48" s="410" t="s">
        <v>30</v>
      </c>
      <c r="E48" s="466"/>
      <c r="F48" s="467"/>
      <c r="G48" s="467"/>
      <c r="H48" s="467"/>
      <c r="I48" s="289">
        <f t="shared" ref="I48:I50" si="28">SUM(E48:H48)</f>
        <v>0</v>
      </c>
    </row>
    <row r="49" spans="3:9" ht="34.5" customHeight="1" x14ac:dyDescent="0.2">
      <c r="C49" s="144" t="s">
        <v>519</v>
      </c>
      <c r="D49" s="410" t="s">
        <v>623</v>
      </c>
      <c r="E49" s="466"/>
      <c r="F49" s="467"/>
      <c r="G49" s="467"/>
      <c r="H49" s="467"/>
      <c r="I49" s="289">
        <f t="shared" si="28"/>
        <v>0</v>
      </c>
    </row>
    <row r="50" spans="3:9" ht="34.5" customHeight="1" x14ac:dyDescent="0.2">
      <c r="C50" s="579" t="s">
        <v>634</v>
      </c>
      <c r="D50" s="580" t="s">
        <v>624</v>
      </c>
      <c r="E50" s="581"/>
      <c r="F50" s="581">
        <v>10000000</v>
      </c>
      <c r="G50" s="467"/>
      <c r="H50" s="467"/>
      <c r="I50" s="289">
        <f t="shared" si="28"/>
        <v>10000000</v>
      </c>
    </row>
    <row r="51" spans="3:9" ht="30" customHeight="1" x14ac:dyDescent="0.2">
      <c r="C51" s="149" t="s">
        <v>520</v>
      </c>
      <c r="D51" s="411" t="s">
        <v>106</v>
      </c>
      <c r="E51" s="458">
        <f>SUM(E52:E54)</f>
        <v>70650000</v>
      </c>
      <c r="F51" s="458">
        <f t="shared" ref="F51" si="29">SUM(F52:F54)</f>
        <v>0</v>
      </c>
      <c r="G51" s="458">
        <f t="shared" ref="G51" si="30">SUM(G52:G54)</f>
        <v>0</v>
      </c>
      <c r="H51" s="458">
        <f t="shared" ref="H51" si="31">SUM(H52:H54)</f>
        <v>0</v>
      </c>
      <c r="I51" s="287">
        <f>SUM(E51:H51)</f>
        <v>70650000</v>
      </c>
    </row>
    <row r="52" spans="3:9" ht="30" customHeight="1" x14ac:dyDescent="0.2">
      <c r="C52" s="582" t="s">
        <v>521</v>
      </c>
      <c r="D52" s="575" t="s">
        <v>30</v>
      </c>
      <c r="E52" s="576">
        <v>7300000</v>
      </c>
      <c r="F52" s="207"/>
      <c r="G52" s="467"/>
      <c r="H52" s="467"/>
      <c r="I52" s="289">
        <f t="shared" ref="I52:I54" si="32">SUM(E52:H52)</f>
        <v>7300000</v>
      </c>
    </row>
    <row r="53" spans="3:9" ht="33.75" customHeight="1" x14ac:dyDescent="0.2">
      <c r="C53" s="144" t="s">
        <v>522</v>
      </c>
      <c r="D53" s="410" t="s">
        <v>623</v>
      </c>
      <c r="E53" s="388">
        <v>41200000</v>
      </c>
      <c r="F53" s="208"/>
      <c r="G53" s="467"/>
      <c r="H53" s="467"/>
      <c r="I53" s="289">
        <f t="shared" si="32"/>
        <v>41200000</v>
      </c>
    </row>
    <row r="54" spans="3:9" ht="33.75" customHeight="1" x14ac:dyDescent="0.2">
      <c r="C54" s="144" t="s">
        <v>635</v>
      </c>
      <c r="D54" s="410" t="s">
        <v>624</v>
      </c>
      <c r="E54" s="388">
        <v>22150000</v>
      </c>
      <c r="F54" s="207"/>
      <c r="G54" s="467"/>
      <c r="H54" s="467"/>
      <c r="I54" s="289">
        <f t="shared" si="32"/>
        <v>22150000</v>
      </c>
    </row>
    <row r="55" spans="3:9" ht="30" customHeight="1" x14ac:dyDescent="0.2">
      <c r="C55" s="149" t="s">
        <v>523</v>
      </c>
      <c r="D55" s="411" t="s">
        <v>97</v>
      </c>
      <c r="E55" s="458">
        <f>SUM(E56:E58)</f>
        <v>0</v>
      </c>
      <c r="F55" s="458">
        <f t="shared" ref="F55" si="33">SUM(F56:F58)</f>
        <v>63400000</v>
      </c>
      <c r="G55" s="458">
        <f t="shared" ref="G55" si="34">SUM(G56:G58)</f>
        <v>0</v>
      </c>
      <c r="H55" s="458">
        <f t="shared" ref="H55" si="35">SUM(H56:H58)</f>
        <v>0</v>
      </c>
      <c r="I55" s="287">
        <f>SUM(E55:H55)</f>
        <v>63400000</v>
      </c>
    </row>
    <row r="56" spans="3:9" ht="30" customHeight="1" x14ac:dyDescent="0.2">
      <c r="C56" s="144" t="s">
        <v>524</v>
      </c>
      <c r="D56" s="410" t="s">
        <v>30</v>
      </c>
      <c r="E56" s="466"/>
      <c r="F56" s="467"/>
      <c r="G56" s="467"/>
      <c r="H56" s="467"/>
      <c r="I56" s="289">
        <f t="shared" ref="I56:I58" si="36">SUM(E56:H56)</f>
        <v>0</v>
      </c>
    </row>
    <row r="57" spans="3:9" ht="31.5" customHeight="1" x14ac:dyDescent="0.2">
      <c r="C57" s="144" t="s">
        <v>525</v>
      </c>
      <c r="D57" s="410" t="s">
        <v>623</v>
      </c>
      <c r="E57" s="466"/>
      <c r="F57" s="467"/>
      <c r="G57" s="467"/>
      <c r="H57" s="467"/>
      <c r="I57" s="289">
        <f t="shared" si="36"/>
        <v>0</v>
      </c>
    </row>
    <row r="58" spans="3:9" ht="31.5" customHeight="1" x14ac:dyDescent="0.2">
      <c r="C58" s="144" t="s">
        <v>636</v>
      </c>
      <c r="D58" s="410" t="s">
        <v>624</v>
      </c>
      <c r="E58" s="466"/>
      <c r="F58" s="388">
        <v>63400000</v>
      </c>
      <c r="G58" s="467"/>
      <c r="H58" s="467"/>
      <c r="I58" s="289">
        <f t="shared" si="36"/>
        <v>63400000</v>
      </c>
    </row>
    <row r="59" spans="3:9" ht="30.75" customHeight="1" x14ac:dyDescent="0.2">
      <c r="C59" s="146" t="s">
        <v>526</v>
      </c>
      <c r="D59" s="405" t="s">
        <v>32</v>
      </c>
      <c r="E59" s="463">
        <f>SUM(E60:E62)</f>
        <v>71400000</v>
      </c>
      <c r="F59" s="463">
        <f t="shared" ref="F59" si="37">SUM(F60:F62)</f>
        <v>48500000</v>
      </c>
      <c r="G59" s="463">
        <f t="shared" ref="G59" si="38">SUM(G60:G62)</f>
        <v>0</v>
      </c>
      <c r="H59" s="463">
        <f t="shared" ref="H59" si="39">SUM(H60:H62)</f>
        <v>0</v>
      </c>
      <c r="I59" s="287">
        <f>SUM(E59:H59)</f>
        <v>119900000</v>
      </c>
    </row>
    <row r="60" spans="3:9" ht="32.25" customHeight="1" x14ac:dyDescent="0.2">
      <c r="C60" s="150" t="s">
        <v>527</v>
      </c>
      <c r="D60" s="453" t="s">
        <v>103</v>
      </c>
      <c r="E60" s="459"/>
      <c r="F60" s="460"/>
      <c r="G60" s="460"/>
      <c r="H60" s="460"/>
      <c r="I60" s="289">
        <f>SUM(E60:H60)</f>
        <v>0</v>
      </c>
    </row>
    <row r="61" spans="3:9" ht="32.25" customHeight="1" x14ac:dyDescent="0.2">
      <c r="C61" s="583" t="s">
        <v>528</v>
      </c>
      <c r="D61" s="584" t="s">
        <v>104</v>
      </c>
      <c r="E61" s="585">
        <v>45800000</v>
      </c>
      <c r="F61" s="586">
        <v>32000000</v>
      </c>
      <c r="G61" s="462"/>
      <c r="H61" s="462"/>
      <c r="I61" s="289">
        <f t="shared" ref="I61:I62" si="40">SUM(E61:H61)</f>
        <v>77800000</v>
      </c>
    </row>
    <row r="62" spans="3:9" ht="32.25" customHeight="1" x14ac:dyDescent="0.2">
      <c r="C62" s="583" t="s">
        <v>529</v>
      </c>
      <c r="D62" s="584" t="s">
        <v>105</v>
      </c>
      <c r="E62" s="585">
        <v>25600000</v>
      </c>
      <c r="F62" s="586">
        <v>16500000</v>
      </c>
      <c r="G62" s="462"/>
      <c r="H62" s="462"/>
      <c r="I62" s="289">
        <f t="shared" si="40"/>
        <v>42100000</v>
      </c>
    </row>
    <row r="63" spans="3:9" ht="45.75" customHeight="1" x14ac:dyDescent="0.2">
      <c r="C63" s="151" t="s">
        <v>530</v>
      </c>
      <c r="D63" s="413" t="s">
        <v>72</v>
      </c>
      <c r="E63" s="463">
        <f>SUM(E64:E65)</f>
        <v>1427900000</v>
      </c>
      <c r="F63" s="463">
        <f t="shared" ref="F63:H63" si="41">SUM(F64:F65)</f>
        <v>0</v>
      </c>
      <c r="G63" s="463">
        <f t="shared" si="41"/>
        <v>0</v>
      </c>
      <c r="H63" s="463">
        <f t="shared" si="41"/>
        <v>0</v>
      </c>
      <c r="I63" s="287">
        <f>SUM(E63:H63)</f>
        <v>1427900000</v>
      </c>
    </row>
    <row r="64" spans="3:9" ht="31.5" customHeight="1" x14ac:dyDescent="0.2">
      <c r="C64" s="145" t="s">
        <v>531</v>
      </c>
      <c r="D64" s="404" t="s">
        <v>73</v>
      </c>
      <c r="E64" s="393">
        <v>918500000</v>
      </c>
      <c r="F64" s="469"/>
      <c r="G64" s="469"/>
      <c r="H64" s="469"/>
      <c r="I64" s="289">
        <f>SUM(E64:H64)</f>
        <v>918500000</v>
      </c>
    </row>
    <row r="65" spans="3:9" ht="31.5" customHeight="1" x14ac:dyDescent="0.2">
      <c r="C65" s="145" t="s">
        <v>532</v>
      </c>
      <c r="D65" s="404" t="s">
        <v>17</v>
      </c>
      <c r="E65" s="393">
        <v>509400000</v>
      </c>
      <c r="F65" s="471"/>
      <c r="G65" s="471"/>
      <c r="H65" s="472"/>
      <c r="I65" s="289">
        <f t="shared" ref="I65" si="42">SUM(E65:H65)</f>
        <v>509400000</v>
      </c>
    </row>
    <row r="66" spans="3:9" ht="39" customHeight="1" x14ac:dyDescent="0.2">
      <c r="C66" s="151" t="s">
        <v>533</v>
      </c>
      <c r="D66" s="407" t="s">
        <v>33</v>
      </c>
      <c r="E66" s="463">
        <f>SUM(E67:E68)</f>
        <v>21200000</v>
      </c>
      <c r="F66" s="463">
        <f t="shared" ref="F66" si="43">SUM(F67:F68)</f>
        <v>0</v>
      </c>
      <c r="G66" s="463">
        <f t="shared" ref="G66" si="44">SUM(G67:G68)</f>
        <v>0</v>
      </c>
      <c r="H66" s="463">
        <f t="shared" ref="H66" si="45">SUM(H67:H68)</f>
        <v>0</v>
      </c>
      <c r="I66" s="287">
        <f>SUM(E66:H66)</f>
        <v>21200000</v>
      </c>
    </row>
    <row r="67" spans="3:9" ht="39" customHeight="1" x14ac:dyDescent="0.2">
      <c r="C67" s="152" t="s">
        <v>534</v>
      </c>
      <c r="D67" s="408" t="s">
        <v>34</v>
      </c>
      <c r="E67" s="461">
        <v>13400000</v>
      </c>
      <c r="F67" s="469"/>
      <c r="G67" s="469"/>
      <c r="H67" s="469"/>
      <c r="I67" s="289">
        <f>SUM(E67:H67)</f>
        <v>13400000</v>
      </c>
    </row>
    <row r="68" spans="3:9" ht="39" customHeight="1" x14ac:dyDescent="0.2">
      <c r="C68" s="152" t="s">
        <v>535</v>
      </c>
      <c r="D68" s="408" t="s">
        <v>35</v>
      </c>
      <c r="E68" s="461">
        <v>7800000</v>
      </c>
      <c r="F68" s="471"/>
      <c r="G68" s="471"/>
      <c r="H68" s="472"/>
      <c r="I68" s="289">
        <f t="shared" ref="I68" si="46">SUM(E68:H68)</f>
        <v>7800000</v>
      </c>
    </row>
    <row r="69" spans="3:9" ht="39" customHeight="1" x14ac:dyDescent="0.2">
      <c r="C69" s="146" t="s">
        <v>536</v>
      </c>
      <c r="D69" s="407" t="s">
        <v>120</v>
      </c>
      <c r="E69" s="463">
        <f>E70+E80+SUM(E83:E87)</f>
        <v>616850000</v>
      </c>
      <c r="F69" s="463">
        <f t="shared" ref="F69:H69" si="47">F70+F80+SUM(F83:F87)</f>
        <v>189000000</v>
      </c>
      <c r="G69" s="463">
        <f t="shared" si="47"/>
        <v>0</v>
      </c>
      <c r="H69" s="463">
        <f t="shared" si="47"/>
        <v>345000</v>
      </c>
      <c r="I69" s="287">
        <f>SUM(E69:H69)</f>
        <v>806195000</v>
      </c>
    </row>
    <row r="70" spans="3:9" ht="39" customHeight="1" x14ac:dyDescent="0.2">
      <c r="C70" s="146" t="s">
        <v>537</v>
      </c>
      <c r="D70" s="411" t="s">
        <v>18</v>
      </c>
      <c r="E70" s="458">
        <f>SUM(E71:E73)+E77</f>
        <v>36200000</v>
      </c>
      <c r="F70" s="458">
        <f t="shared" ref="F70:H70" si="48">SUM(F71:F73)+F77</f>
        <v>84100000</v>
      </c>
      <c r="G70" s="458">
        <f t="shared" si="48"/>
        <v>0</v>
      </c>
      <c r="H70" s="458">
        <f t="shared" si="48"/>
        <v>0</v>
      </c>
      <c r="I70" s="287">
        <f>SUM(E70:H70)</f>
        <v>120300000</v>
      </c>
    </row>
    <row r="71" spans="3:9" ht="39" customHeight="1" x14ac:dyDescent="0.2">
      <c r="C71" s="153" t="s">
        <v>538</v>
      </c>
      <c r="D71" s="404" t="s">
        <v>36</v>
      </c>
      <c r="E71" s="468"/>
      <c r="F71" s="469"/>
      <c r="G71" s="469"/>
      <c r="H71" s="469"/>
      <c r="I71" s="289">
        <f>SUM(E71:H71)</f>
        <v>0</v>
      </c>
    </row>
    <row r="72" spans="3:9" ht="37.5" customHeight="1" x14ac:dyDescent="0.2">
      <c r="C72" s="153" t="s">
        <v>539</v>
      </c>
      <c r="D72" s="404" t="s">
        <v>37</v>
      </c>
      <c r="E72" s="470">
        <v>36200000</v>
      </c>
      <c r="F72" s="471"/>
      <c r="G72" s="471"/>
      <c r="H72" s="472"/>
      <c r="I72" s="289">
        <f t="shared" ref="I72" si="49">SUM(E72:H72)</f>
        <v>36200000</v>
      </c>
    </row>
    <row r="73" spans="3:9" ht="37.5" customHeight="1" x14ac:dyDescent="0.2">
      <c r="C73" s="154" t="s">
        <v>540</v>
      </c>
      <c r="D73" s="417" t="s">
        <v>38</v>
      </c>
      <c r="E73" s="473">
        <f>SUM(E74:E76)</f>
        <v>0</v>
      </c>
      <c r="F73" s="473">
        <f t="shared" ref="F73:H73" si="50">SUM(F74:F76)</f>
        <v>54900000</v>
      </c>
      <c r="G73" s="473">
        <f t="shared" si="50"/>
        <v>0</v>
      </c>
      <c r="H73" s="473">
        <f t="shared" si="50"/>
        <v>0</v>
      </c>
      <c r="I73" s="287">
        <f>SUM(E73:H73)</f>
        <v>54900000</v>
      </c>
    </row>
    <row r="74" spans="3:9" ht="33.75" customHeight="1" x14ac:dyDescent="0.2">
      <c r="C74" s="153" t="s">
        <v>541</v>
      </c>
      <c r="D74" s="454" t="s">
        <v>19</v>
      </c>
      <c r="E74" s="434"/>
      <c r="F74" s="475">
        <v>19700000</v>
      </c>
      <c r="G74" s="292"/>
      <c r="H74" s="292"/>
      <c r="I74" s="289">
        <f>SUM(E74:H74)</f>
        <v>19700000</v>
      </c>
    </row>
    <row r="75" spans="3:9" ht="33.75" customHeight="1" x14ac:dyDescent="0.2">
      <c r="C75" s="153" t="s">
        <v>542</v>
      </c>
      <c r="D75" s="454" t="s">
        <v>89</v>
      </c>
      <c r="E75" s="434"/>
      <c r="F75" s="475">
        <v>18500000</v>
      </c>
      <c r="G75" s="292"/>
      <c r="H75" s="292"/>
      <c r="I75" s="289">
        <f t="shared" ref="I75:I76" si="51">SUM(E75:H75)</f>
        <v>18500000</v>
      </c>
    </row>
    <row r="76" spans="3:9" ht="37.5" customHeight="1" x14ac:dyDescent="0.2">
      <c r="C76" s="153" t="s">
        <v>543</v>
      </c>
      <c r="D76" s="454" t="s">
        <v>39</v>
      </c>
      <c r="E76" s="434"/>
      <c r="F76" s="475">
        <v>16700000</v>
      </c>
      <c r="G76" s="292"/>
      <c r="H76" s="292"/>
      <c r="I76" s="289">
        <f t="shared" si="51"/>
        <v>16700000</v>
      </c>
    </row>
    <row r="77" spans="3:9" ht="37.5" customHeight="1" x14ac:dyDescent="0.2">
      <c r="C77" s="154" t="s">
        <v>544</v>
      </c>
      <c r="D77" s="417" t="s">
        <v>40</v>
      </c>
      <c r="E77" s="473">
        <f>SUM(E78:E79)</f>
        <v>0</v>
      </c>
      <c r="F77" s="473">
        <f t="shared" ref="F77:H77" si="52">SUM(F78:F79)</f>
        <v>29200000</v>
      </c>
      <c r="G77" s="473">
        <f t="shared" si="52"/>
        <v>0</v>
      </c>
      <c r="H77" s="473">
        <f t="shared" si="52"/>
        <v>0</v>
      </c>
      <c r="I77" s="287">
        <f>SUM(E77:H77)</f>
        <v>29200000</v>
      </c>
    </row>
    <row r="78" spans="3:9" ht="37.5" customHeight="1" x14ac:dyDescent="0.2">
      <c r="C78" s="153" t="s">
        <v>545</v>
      </c>
      <c r="D78" s="418" t="s">
        <v>41</v>
      </c>
      <c r="E78" s="474"/>
      <c r="F78" s="475">
        <v>11400000</v>
      </c>
      <c r="G78" s="475"/>
      <c r="H78" s="475"/>
      <c r="I78" s="289">
        <f>SUM(E78:H78)</f>
        <v>11400000</v>
      </c>
    </row>
    <row r="79" spans="3:9" ht="37.5" customHeight="1" x14ac:dyDescent="0.2">
      <c r="C79" s="153" t="s">
        <v>546</v>
      </c>
      <c r="D79" s="418" t="s">
        <v>20</v>
      </c>
      <c r="E79" s="434"/>
      <c r="F79" s="475">
        <v>17800000</v>
      </c>
      <c r="G79" s="292"/>
      <c r="H79" s="292"/>
      <c r="I79" s="289">
        <f t="shared" ref="I79" si="53">SUM(E79:H79)</f>
        <v>17800000</v>
      </c>
    </row>
    <row r="80" spans="3:9" ht="33" customHeight="1" x14ac:dyDescent="0.2">
      <c r="C80" s="146" t="s">
        <v>547</v>
      </c>
      <c r="D80" s="409" t="s">
        <v>21</v>
      </c>
      <c r="E80" s="473">
        <f>SUM(E81:E82)</f>
        <v>0</v>
      </c>
      <c r="F80" s="473">
        <f t="shared" ref="F80:H80" si="54">SUM(F81:F82)</f>
        <v>0</v>
      </c>
      <c r="G80" s="473">
        <f t="shared" si="54"/>
        <v>0</v>
      </c>
      <c r="H80" s="473">
        <f t="shared" si="54"/>
        <v>0</v>
      </c>
      <c r="I80" s="287">
        <f>SUM(E80:H80)</f>
        <v>0</v>
      </c>
    </row>
    <row r="81" spans="3:9" ht="33" customHeight="1" x14ac:dyDescent="0.2">
      <c r="C81" s="150" t="s">
        <v>548</v>
      </c>
      <c r="D81" s="419" t="s">
        <v>124</v>
      </c>
      <c r="E81" s="434"/>
      <c r="F81" s="292"/>
      <c r="G81" s="292"/>
      <c r="H81" s="292"/>
      <c r="I81" s="289">
        <f t="shared" ref="I81:I99" si="55">SUM(E81:H81)</f>
        <v>0</v>
      </c>
    </row>
    <row r="82" spans="3:9" ht="39" customHeight="1" x14ac:dyDescent="0.2">
      <c r="C82" s="150" t="s">
        <v>562</v>
      </c>
      <c r="D82" s="419" t="s">
        <v>125</v>
      </c>
      <c r="E82" s="434"/>
      <c r="F82" s="292"/>
      <c r="G82" s="292"/>
      <c r="H82" s="292"/>
      <c r="I82" s="289">
        <f t="shared" si="55"/>
        <v>0</v>
      </c>
    </row>
    <row r="83" spans="3:9" ht="29.25" customHeight="1" x14ac:dyDescent="0.2">
      <c r="C83" s="150" t="s">
        <v>549</v>
      </c>
      <c r="D83" s="408" t="s">
        <v>190</v>
      </c>
      <c r="E83" s="434">
        <v>512450000</v>
      </c>
      <c r="F83" s="292">
        <v>74300000</v>
      </c>
      <c r="G83" s="292"/>
      <c r="H83" s="292"/>
      <c r="I83" s="289">
        <f t="shared" si="55"/>
        <v>586750000</v>
      </c>
    </row>
    <row r="84" spans="3:9" ht="32.25" customHeight="1" x14ac:dyDescent="0.2">
      <c r="C84" s="150" t="s">
        <v>550</v>
      </c>
      <c r="D84" s="408" t="s">
        <v>74</v>
      </c>
      <c r="E84" s="476">
        <v>42350000</v>
      </c>
      <c r="F84" s="477">
        <v>20600000</v>
      </c>
      <c r="G84" s="477"/>
      <c r="H84" s="477"/>
      <c r="I84" s="289">
        <f t="shared" si="55"/>
        <v>62950000</v>
      </c>
    </row>
    <row r="85" spans="3:9" ht="30.75" customHeight="1" x14ac:dyDescent="0.2">
      <c r="C85" s="150" t="s">
        <v>551</v>
      </c>
      <c r="D85" s="406" t="s">
        <v>90</v>
      </c>
      <c r="E85" s="476">
        <v>12100000</v>
      </c>
      <c r="F85" s="477"/>
      <c r="G85" s="477"/>
      <c r="H85" s="477"/>
      <c r="I85" s="289">
        <f t="shared" si="55"/>
        <v>12100000</v>
      </c>
    </row>
    <row r="86" spans="3:9" ht="39" customHeight="1" x14ac:dyDescent="0.2">
      <c r="C86" s="150" t="s">
        <v>552</v>
      </c>
      <c r="D86" s="420" t="s">
        <v>42</v>
      </c>
      <c r="E86" s="476">
        <v>2500000</v>
      </c>
      <c r="F86" s="477">
        <v>5300000</v>
      </c>
      <c r="G86" s="477"/>
      <c r="H86" s="477"/>
      <c r="I86" s="289">
        <f t="shared" si="55"/>
        <v>7800000</v>
      </c>
    </row>
    <row r="87" spans="3:9" ht="30.75" customHeight="1" x14ac:dyDescent="0.2">
      <c r="C87" s="150" t="s">
        <v>553</v>
      </c>
      <c r="D87" s="421" t="s">
        <v>43</v>
      </c>
      <c r="E87" s="434">
        <v>11250000</v>
      </c>
      <c r="F87" s="292">
        <v>4700000</v>
      </c>
      <c r="G87" s="292"/>
      <c r="H87" s="292">
        <v>345000</v>
      </c>
      <c r="I87" s="289">
        <f t="shared" si="55"/>
        <v>16295000</v>
      </c>
    </row>
    <row r="88" spans="3:9" ht="33" customHeight="1" x14ac:dyDescent="0.2">
      <c r="C88" s="155" t="s">
        <v>554</v>
      </c>
      <c r="D88" s="407" t="s">
        <v>44</v>
      </c>
      <c r="E88" s="458">
        <f>E89+E94</f>
        <v>140400000</v>
      </c>
      <c r="F88" s="458">
        <f t="shared" ref="F88:H88" si="56">F89+F94</f>
        <v>96700000</v>
      </c>
      <c r="G88" s="458">
        <f t="shared" si="56"/>
        <v>0</v>
      </c>
      <c r="H88" s="458">
        <f t="shared" si="56"/>
        <v>0</v>
      </c>
      <c r="I88" s="287">
        <f t="shared" si="55"/>
        <v>237100000</v>
      </c>
    </row>
    <row r="89" spans="3:9" ht="33" customHeight="1" x14ac:dyDescent="0.2">
      <c r="C89" s="155" t="s">
        <v>555</v>
      </c>
      <c r="D89" s="411" t="s">
        <v>45</v>
      </c>
      <c r="E89" s="458">
        <f>E90+E93</f>
        <v>24650000</v>
      </c>
      <c r="F89" s="458">
        <f t="shared" ref="F89:H89" si="57">F90+F93</f>
        <v>28200000</v>
      </c>
      <c r="G89" s="458">
        <f t="shared" si="57"/>
        <v>0</v>
      </c>
      <c r="H89" s="458">
        <f t="shared" si="57"/>
        <v>0</v>
      </c>
      <c r="I89" s="287">
        <f t="shared" si="55"/>
        <v>52850000</v>
      </c>
    </row>
    <row r="90" spans="3:9" ht="33" customHeight="1" x14ac:dyDescent="0.2">
      <c r="C90" s="156" t="s">
        <v>556</v>
      </c>
      <c r="D90" s="455" t="s">
        <v>75</v>
      </c>
      <c r="E90" s="458">
        <f>SUM(E91:E92)</f>
        <v>12050000</v>
      </c>
      <c r="F90" s="458">
        <f t="shared" ref="F90:H90" si="58">SUM(F91:F92)</f>
        <v>16500000</v>
      </c>
      <c r="G90" s="458">
        <f t="shared" si="58"/>
        <v>0</v>
      </c>
      <c r="H90" s="458">
        <f t="shared" si="58"/>
        <v>0</v>
      </c>
      <c r="I90" s="287">
        <f t="shared" si="55"/>
        <v>28550000</v>
      </c>
    </row>
    <row r="91" spans="3:9" ht="30.75" customHeight="1" x14ac:dyDescent="0.2">
      <c r="C91" s="157" t="s">
        <v>557</v>
      </c>
      <c r="D91" s="423" t="s">
        <v>113</v>
      </c>
      <c r="E91" s="397">
        <v>5300000</v>
      </c>
      <c r="F91" s="228">
        <v>6100000</v>
      </c>
      <c r="G91" s="228"/>
      <c r="H91" s="288"/>
      <c r="I91" s="289">
        <f t="shared" si="55"/>
        <v>11400000</v>
      </c>
    </row>
    <row r="92" spans="3:9" ht="30.75" customHeight="1" x14ac:dyDescent="0.2">
      <c r="C92" s="157" t="s">
        <v>558</v>
      </c>
      <c r="D92" s="423" t="s">
        <v>114</v>
      </c>
      <c r="E92" s="397">
        <v>6750000</v>
      </c>
      <c r="F92" s="228">
        <v>10400000</v>
      </c>
      <c r="G92" s="228"/>
      <c r="H92" s="288"/>
      <c r="I92" s="289">
        <f t="shared" si="55"/>
        <v>17150000</v>
      </c>
    </row>
    <row r="93" spans="3:9" ht="30.75" customHeight="1" x14ac:dyDescent="0.2">
      <c r="C93" s="157" t="s">
        <v>559</v>
      </c>
      <c r="D93" s="587" t="s">
        <v>107</v>
      </c>
      <c r="E93" s="588">
        <v>12600000</v>
      </c>
      <c r="F93" s="589">
        <v>11700000</v>
      </c>
      <c r="G93" s="228"/>
      <c r="H93" s="291"/>
      <c r="I93" s="289">
        <f t="shared" si="55"/>
        <v>24300000</v>
      </c>
    </row>
    <row r="94" spans="3:9" ht="30.75" customHeight="1" x14ac:dyDescent="0.2">
      <c r="C94" s="155" t="s">
        <v>560</v>
      </c>
      <c r="D94" s="409" t="s">
        <v>48</v>
      </c>
      <c r="E94" s="458">
        <f>SUM(E95:E99)</f>
        <v>115750000</v>
      </c>
      <c r="F94" s="458">
        <f t="shared" ref="F94:H94" si="59">SUM(F95:F99)</f>
        <v>68500000</v>
      </c>
      <c r="G94" s="458">
        <f t="shared" si="59"/>
        <v>0</v>
      </c>
      <c r="H94" s="458">
        <f t="shared" si="59"/>
        <v>0</v>
      </c>
      <c r="I94" s="287">
        <f t="shared" ref="I94" si="60">SUM(E94:H94)</f>
        <v>184250000</v>
      </c>
    </row>
    <row r="95" spans="3:9" ht="33.75" customHeight="1" x14ac:dyDescent="0.2">
      <c r="C95" s="144" t="s">
        <v>561</v>
      </c>
      <c r="D95" s="425" t="s">
        <v>49</v>
      </c>
      <c r="E95" s="398">
        <v>90000000</v>
      </c>
      <c r="F95" s="229">
        <v>60000000</v>
      </c>
      <c r="G95" s="229"/>
      <c r="H95" s="478"/>
      <c r="I95" s="289">
        <f t="shared" si="55"/>
        <v>150000000</v>
      </c>
    </row>
    <row r="96" spans="3:9" ht="34.5" customHeight="1" x14ac:dyDescent="0.2">
      <c r="C96" s="144" t="s">
        <v>563</v>
      </c>
      <c r="D96" s="425" t="s">
        <v>94</v>
      </c>
      <c r="E96" s="398"/>
      <c r="F96" s="229"/>
      <c r="G96" s="229"/>
      <c r="H96" s="288"/>
      <c r="I96" s="289">
        <f t="shared" si="55"/>
        <v>0</v>
      </c>
    </row>
    <row r="97" spans="2:9" ht="33" customHeight="1" x14ac:dyDescent="0.2">
      <c r="C97" s="144" t="s">
        <v>564</v>
      </c>
      <c r="D97" s="425" t="s">
        <v>50</v>
      </c>
      <c r="E97" s="393"/>
      <c r="F97" s="222"/>
      <c r="G97" s="222"/>
      <c r="H97" s="288"/>
      <c r="I97" s="289">
        <f t="shared" si="55"/>
        <v>0</v>
      </c>
    </row>
    <row r="98" spans="2:9" ht="34.5" customHeight="1" x14ac:dyDescent="0.2">
      <c r="C98" s="144" t="s">
        <v>565</v>
      </c>
      <c r="D98" s="425" t="s">
        <v>51</v>
      </c>
      <c r="E98" s="393">
        <v>25750000</v>
      </c>
      <c r="F98" s="222">
        <v>8500000</v>
      </c>
      <c r="G98" s="222"/>
      <c r="H98" s="288"/>
      <c r="I98" s="289">
        <f t="shared" si="55"/>
        <v>34250000</v>
      </c>
    </row>
    <row r="99" spans="2:9" ht="44.25" customHeight="1" x14ac:dyDescent="0.2">
      <c r="C99" s="144" t="s">
        <v>566</v>
      </c>
      <c r="D99" s="426" t="s">
        <v>95</v>
      </c>
      <c r="E99" s="393"/>
      <c r="F99" s="222"/>
      <c r="G99" s="222"/>
      <c r="H99" s="288"/>
      <c r="I99" s="289">
        <f t="shared" si="55"/>
        <v>0</v>
      </c>
    </row>
    <row r="100" spans="2:9" ht="28.5" customHeight="1" x14ac:dyDescent="0.2">
      <c r="C100" s="149" t="s">
        <v>567</v>
      </c>
      <c r="D100" s="407" t="s">
        <v>52</v>
      </c>
      <c r="E100" s="435">
        <f>SUM(E101:E104)</f>
        <v>1295000000</v>
      </c>
      <c r="F100" s="435">
        <f t="shared" ref="F100:H100" si="61">SUM(F101:F104)</f>
        <v>105000000</v>
      </c>
      <c r="G100" s="435">
        <f t="shared" si="61"/>
        <v>0</v>
      </c>
      <c r="H100" s="435">
        <f t="shared" si="61"/>
        <v>0</v>
      </c>
      <c r="I100" s="287">
        <f>SUM(E100:H100)</f>
        <v>1400000000</v>
      </c>
    </row>
    <row r="101" spans="2:9" ht="30" customHeight="1" x14ac:dyDescent="0.2">
      <c r="C101" s="153" t="s">
        <v>568</v>
      </c>
      <c r="D101" s="406" t="s">
        <v>53</v>
      </c>
      <c r="E101" s="433">
        <v>720000000</v>
      </c>
      <c r="F101" s="288"/>
      <c r="G101" s="288"/>
      <c r="H101" s="288"/>
      <c r="I101" s="289">
        <f t="shared" ref="I101:I104" si="62">SUM(E101:H101)</f>
        <v>720000000</v>
      </c>
    </row>
    <row r="102" spans="2:9" ht="36" customHeight="1" x14ac:dyDescent="0.2">
      <c r="C102" s="153" t="s">
        <v>569</v>
      </c>
      <c r="D102" s="406" t="s">
        <v>54</v>
      </c>
      <c r="E102" s="433">
        <v>575000000</v>
      </c>
      <c r="F102" s="288">
        <v>105000000</v>
      </c>
      <c r="G102" s="288"/>
      <c r="H102" s="288"/>
      <c r="I102" s="289">
        <f t="shared" si="62"/>
        <v>680000000</v>
      </c>
    </row>
    <row r="103" spans="2:9" ht="45" customHeight="1" x14ac:dyDescent="0.2">
      <c r="C103" s="153" t="s">
        <v>570</v>
      </c>
      <c r="D103" s="406" t="s">
        <v>55</v>
      </c>
      <c r="E103" s="433"/>
      <c r="F103" s="288"/>
      <c r="G103" s="288"/>
      <c r="H103" s="288"/>
      <c r="I103" s="289">
        <f t="shared" si="62"/>
        <v>0</v>
      </c>
    </row>
    <row r="104" spans="2:9" ht="30.75" customHeight="1" x14ac:dyDescent="0.2">
      <c r="C104" s="153" t="s">
        <v>571</v>
      </c>
      <c r="D104" s="406" t="s">
        <v>56</v>
      </c>
      <c r="E104" s="433"/>
      <c r="F104" s="288"/>
      <c r="G104" s="288"/>
      <c r="H104" s="288"/>
      <c r="I104" s="289">
        <f t="shared" si="62"/>
        <v>0</v>
      </c>
    </row>
    <row r="105" spans="2:9" ht="30.75" customHeight="1" x14ac:dyDescent="0.2">
      <c r="C105" s="149" t="s">
        <v>572</v>
      </c>
      <c r="D105" s="590" t="s">
        <v>57</v>
      </c>
      <c r="E105" s="591">
        <f>SUM(E106:E108)+SUM(E112:E113)</f>
        <v>655110000</v>
      </c>
      <c r="F105" s="591">
        <f t="shared" ref="F105:H105" si="63">SUM(F106:F108)+SUM(F112:F113)</f>
        <v>187150000</v>
      </c>
      <c r="G105" s="463">
        <f t="shared" si="63"/>
        <v>0</v>
      </c>
      <c r="H105" s="463">
        <f t="shared" si="63"/>
        <v>0</v>
      </c>
      <c r="I105" s="287">
        <f>SUM(E105:H105)</f>
        <v>842260000</v>
      </c>
    </row>
    <row r="106" spans="2:9" ht="36.75" customHeight="1" x14ac:dyDescent="0.2">
      <c r="C106" s="144" t="s">
        <v>573</v>
      </c>
      <c r="D106" s="427" t="s">
        <v>76</v>
      </c>
      <c r="E106" s="479">
        <v>31760000</v>
      </c>
      <c r="F106" s="480">
        <v>14850000</v>
      </c>
      <c r="G106" s="480"/>
      <c r="H106" s="480"/>
      <c r="I106" s="289">
        <f t="shared" ref="I106:I107" si="64">SUM(E106:H106)</f>
        <v>46610000</v>
      </c>
    </row>
    <row r="107" spans="2:9" ht="33" customHeight="1" x14ac:dyDescent="0.2">
      <c r="C107" s="144" t="s">
        <v>574</v>
      </c>
      <c r="D107" s="427" t="s">
        <v>22</v>
      </c>
      <c r="E107" s="479">
        <v>324850000</v>
      </c>
      <c r="F107" s="480"/>
      <c r="G107" s="480"/>
      <c r="H107" s="480"/>
      <c r="I107" s="289">
        <f t="shared" si="64"/>
        <v>324850000</v>
      </c>
    </row>
    <row r="108" spans="2:9" ht="31.5" customHeight="1" x14ac:dyDescent="0.2">
      <c r="C108" s="149" t="s">
        <v>575</v>
      </c>
      <c r="D108" s="428" t="s">
        <v>58</v>
      </c>
      <c r="E108" s="458">
        <f>SUM(E109:E111)</f>
        <v>254500000</v>
      </c>
      <c r="F108" s="458">
        <f t="shared" ref="F108:H108" si="65">SUM(F109:F111)</f>
        <v>172300000</v>
      </c>
      <c r="G108" s="458">
        <f t="shared" si="65"/>
        <v>0</v>
      </c>
      <c r="H108" s="458">
        <f t="shared" si="65"/>
        <v>0</v>
      </c>
      <c r="I108" s="287">
        <f>SUM(E108:H108)</f>
        <v>426800000</v>
      </c>
    </row>
    <row r="109" spans="2:9" ht="33.75" customHeight="1" x14ac:dyDescent="0.2">
      <c r="C109" s="144" t="s">
        <v>576</v>
      </c>
      <c r="D109" s="425" t="s">
        <v>102</v>
      </c>
      <c r="E109" s="481">
        <v>45000000</v>
      </c>
      <c r="F109" s="482">
        <v>30000000</v>
      </c>
      <c r="G109" s="482"/>
      <c r="H109" s="482"/>
      <c r="I109" s="289">
        <f t="shared" ref="I109:I113" si="66">SUM(E109:H109)</f>
        <v>75000000</v>
      </c>
    </row>
    <row r="110" spans="2:9" ht="33" customHeight="1" x14ac:dyDescent="0.2">
      <c r="B110" s="31"/>
      <c r="C110" s="144" t="s">
        <v>577</v>
      </c>
      <c r="D110" s="425" t="s">
        <v>101</v>
      </c>
      <c r="E110" s="481">
        <v>15000000</v>
      </c>
      <c r="F110" s="482"/>
      <c r="G110" s="482"/>
      <c r="H110" s="482"/>
      <c r="I110" s="289">
        <f t="shared" si="66"/>
        <v>15000000</v>
      </c>
    </row>
    <row r="111" spans="2:9" ht="36.75" customHeight="1" x14ac:dyDescent="0.2">
      <c r="B111" s="31"/>
      <c r="C111" s="144" t="s">
        <v>578</v>
      </c>
      <c r="D111" s="425" t="s">
        <v>77</v>
      </c>
      <c r="E111" s="481">
        <v>194500000</v>
      </c>
      <c r="F111" s="482">
        <v>142300000</v>
      </c>
      <c r="G111" s="482"/>
      <c r="H111" s="482"/>
      <c r="I111" s="289">
        <f t="shared" si="66"/>
        <v>336800000</v>
      </c>
    </row>
    <row r="112" spans="2:9" ht="33" customHeight="1" x14ac:dyDescent="0.2">
      <c r="C112" s="144" t="s">
        <v>78</v>
      </c>
      <c r="D112" s="406" t="s">
        <v>672</v>
      </c>
      <c r="E112" s="483">
        <v>26500000</v>
      </c>
      <c r="F112" s="484"/>
      <c r="G112" s="484"/>
      <c r="H112" s="484"/>
      <c r="I112" s="289">
        <f t="shared" si="66"/>
        <v>26500000</v>
      </c>
    </row>
    <row r="113" spans="3:10" ht="33" customHeight="1" x14ac:dyDescent="0.2">
      <c r="C113" s="153" t="s">
        <v>579</v>
      </c>
      <c r="D113" s="429" t="s">
        <v>59</v>
      </c>
      <c r="E113" s="433">
        <v>17500000</v>
      </c>
      <c r="F113" s="288"/>
      <c r="G113" s="288"/>
      <c r="H113" s="288"/>
      <c r="I113" s="289">
        <f t="shared" si="66"/>
        <v>17500000</v>
      </c>
    </row>
    <row r="114" spans="3:10" ht="33" customHeight="1" x14ac:dyDescent="0.2">
      <c r="C114" s="149" t="s">
        <v>617</v>
      </c>
      <c r="D114" s="428" t="s">
        <v>614</v>
      </c>
      <c r="E114" s="463">
        <f>SUM(E115:E117)</f>
        <v>147690000</v>
      </c>
      <c r="F114" s="463">
        <f t="shared" ref="F114:H114" si="67">SUM(F115:F117)</f>
        <v>55080500</v>
      </c>
      <c r="G114" s="463">
        <f t="shared" si="67"/>
        <v>2120000</v>
      </c>
      <c r="H114" s="463">
        <f t="shared" si="67"/>
        <v>650000</v>
      </c>
      <c r="I114" s="287">
        <f>SUM(E114:H114)</f>
        <v>205540500</v>
      </c>
    </row>
    <row r="115" spans="3:10" ht="33" customHeight="1" x14ac:dyDescent="0.2">
      <c r="C115" s="153" t="s">
        <v>618</v>
      </c>
      <c r="D115" s="429" t="s">
        <v>616</v>
      </c>
      <c r="E115" s="433">
        <v>41450000</v>
      </c>
      <c r="F115" s="288">
        <v>48330500</v>
      </c>
      <c r="G115" s="288"/>
      <c r="H115" s="288"/>
      <c r="I115" s="289">
        <f t="shared" ref="I115:I116" si="68">SUM(E115:H115)</f>
        <v>89780500</v>
      </c>
    </row>
    <row r="116" spans="3:10" ht="33" customHeight="1" x14ac:dyDescent="0.2">
      <c r="C116" s="153" t="s">
        <v>644</v>
      </c>
      <c r="D116" s="429" t="s">
        <v>640</v>
      </c>
      <c r="E116" s="433">
        <v>84760000</v>
      </c>
      <c r="F116" s="288"/>
      <c r="G116" s="288"/>
      <c r="H116" s="288"/>
      <c r="I116" s="289">
        <f t="shared" si="68"/>
        <v>84760000</v>
      </c>
    </row>
    <row r="117" spans="3:10" ht="34.5" customHeight="1" thickBot="1" x14ac:dyDescent="0.25">
      <c r="C117" s="158" t="s">
        <v>618</v>
      </c>
      <c r="D117" s="430" t="s">
        <v>639</v>
      </c>
      <c r="E117" s="485">
        <v>21480000</v>
      </c>
      <c r="F117" s="486">
        <v>6750000</v>
      </c>
      <c r="G117" s="486">
        <v>2120000</v>
      </c>
      <c r="H117" s="486">
        <v>650000</v>
      </c>
      <c r="I117" s="487">
        <f>SUM(E117:H117)</f>
        <v>31000000</v>
      </c>
    </row>
    <row r="118" spans="3:10" ht="37.5" customHeight="1" thickBot="1" x14ac:dyDescent="0.25">
      <c r="C118" s="159"/>
      <c r="D118" s="31"/>
      <c r="E118" s="35"/>
      <c r="F118" s="36"/>
      <c r="G118" s="36"/>
      <c r="H118" s="36"/>
      <c r="I118" s="35"/>
      <c r="J118" s="31"/>
    </row>
    <row r="119" spans="3:10" ht="37.5" customHeight="1" thickBot="1" x14ac:dyDescent="0.25">
      <c r="C119" s="141">
        <v>31</v>
      </c>
      <c r="D119" s="489" t="s">
        <v>23</v>
      </c>
      <c r="E119" s="492">
        <f>E120+E124+E134+E137+E140+E147</f>
        <v>1775904600</v>
      </c>
      <c r="F119" s="452">
        <f t="shared" ref="F119:H119" si="69">F120+F124+F134+F137+F140+F147</f>
        <v>538900000</v>
      </c>
      <c r="G119" s="452">
        <f t="shared" si="69"/>
        <v>0</v>
      </c>
      <c r="H119" s="490">
        <f t="shared" si="69"/>
        <v>0</v>
      </c>
      <c r="I119" s="490">
        <f>SUM(E119:H119)</f>
        <v>2314804600</v>
      </c>
    </row>
    <row r="120" spans="3:10" ht="47.25" customHeight="1" x14ac:dyDescent="0.2">
      <c r="C120" s="592" t="s">
        <v>580</v>
      </c>
      <c r="D120" s="593" t="s">
        <v>80</v>
      </c>
      <c r="E120" s="594">
        <f>SUM(E121:E123)</f>
        <v>855000000</v>
      </c>
      <c r="F120" s="595">
        <f>SUM(F121:F123)</f>
        <v>245000000</v>
      </c>
      <c r="G120" s="283">
        <f>SUM(G121:G123)</f>
        <v>0</v>
      </c>
      <c r="H120" s="510">
        <f>SUM(H121:H123)</f>
        <v>0</v>
      </c>
      <c r="I120" s="491">
        <f>SUM(E120:H120)</f>
        <v>1100000000</v>
      </c>
    </row>
    <row r="121" spans="3:10" ht="33" customHeight="1" x14ac:dyDescent="0.2">
      <c r="C121" s="160" t="s">
        <v>581</v>
      </c>
      <c r="D121" s="406" t="s">
        <v>79</v>
      </c>
      <c r="E121" s="433">
        <v>525000000</v>
      </c>
      <c r="F121" s="288">
        <v>135000000</v>
      </c>
      <c r="G121" s="17"/>
      <c r="H121" s="494"/>
      <c r="I121" s="506">
        <f t="shared" ref="I121:I136" si="70">SUM(E121:H121)</f>
        <v>660000000</v>
      </c>
    </row>
    <row r="122" spans="3:10" ht="34.5" customHeight="1" x14ac:dyDescent="0.2">
      <c r="C122" s="160" t="s">
        <v>582</v>
      </c>
      <c r="D122" s="406" t="s">
        <v>108</v>
      </c>
      <c r="E122" s="433">
        <v>180000000</v>
      </c>
      <c r="F122" s="288">
        <v>65000000</v>
      </c>
      <c r="G122" s="17"/>
      <c r="H122" s="494"/>
      <c r="I122" s="506">
        <f t="shared" si="70"/>
        <v>245000000</v>
      </c>
    </row>
    <row r="123" spans="3:10" ht="33" customHeight="1" x14ac:dyDescent="0.2">
      <c r="C123" s="160" t="s">
        <v>583</v>
      </c>
      <c r="D123" s="406" t="s">
        <v>100</v>
      </c>
      <c r="E123" s="433">
        <v>150000000</v>
      </c>
      <c r="F123" s="288">
        <v>45000000</v>
      </c>
      <c r="G123" s="9"/>
      <c r="H123" s="495"/>
      <c r="I123" s="506">
        <f t="shared" si="70"/>
        <v>195000000</v>
      </c>
    </row>
    <row r="124" spans="3:10" ht="33" customHeight="1" x14ac:dyDescent="0.2">
      <c r="C124" s="146" t="s">
        <v>584</v>
      </c>
      <c r="D124" s="405" t="s">
        <v>60</v>
      </c>
      <c r="E124" s="509">
        <f>SUM(E125:E133)</f>
        <v>127400000</v>
      </c>
      <c r="F124" s="283">
        <f>SUM(F125:F133)</f>
        <v>70900000</v>
      </c>
      <c r="G124" s="283">
        <f>SUM(G125:G133)</f>
        <v>0</v>
      </c>
      <c r="H124" s="510">
        <f>SUM(H125:H133)</f>
        <v>0</v>
      </c>
      <c r="I124" s="491">
        <f>SUM(E124:H124)</f>
        <v>198300000</v>
      </c>
    </row>
    <row r="125" spans="3:10" ht="39.75" customHeight="1" x14ac:dyDescent="0.2">
      <c r="C125" s="161" t="s">
        <v>585</v>
      </c>
      <c r="D125" s="444" t="s">
        <v>649</v>
      </c>
      <c r="E125" s="433">
        <v>47000000</v>
      </c>
      <c r="F125" s="288"/>
      <c r="G125" s="17"/>
      <c r="H125" s="494"/>
      <c r="I125" s="506">
        <f t="shared" si="70"/>
        <v>47000000</v>
      </c>
    </row>
    <row r="126" spans="3:10" ht="39.75" customHeight="1" x14ac:dyDescent="0.2">
      <c r="C126" s="161" t="s">
        <v>586</v>
      </c>
      <c r="D126" s="444" t="s">
        <v>650</v>
      </c>
      <c r="E126" s="433">
        <v>68000000</v>
      </c>
      <c r="F126" s="288">
        <v>33900000</v>
      </c>
      <c r="G126" s="17"/>
      <c r="H126" s="494"/>
      <c r="I126" s="506">
        <f t="shared" si="70"/>
        <v>101900000</v>
      </c>
    </row>
    <row r="127" spans="3:10" ht="39.75" customHeight="1" x14ac:dyDescent="0.2">
      <c r="C127" s="161" t="s">
        <v>587</v>
      </c>
      <c r="D127" s="444" t="s">
        <v>651</v>
      </c>
      <c r="E127" s="433"/>
      <c r="F127" s="288"/>
      <c r="G127" s="17"/>
      <c r="H127" s="494"/>
      <c r="I127" s="506">
        <f t="shared" si="70"/>
        <v>0</v>
      </c>
    </row>
    <row r="128" spans="3:10" ht="39.75" customHeight="1" x14ac:dyDescent="0.2">
      <c r="C128" s="161" t="s">
        <v>588</v>
      </c>
      <c r="D128" s="406" t="s">
        <v>61</v>
      </c>
      <c r="E128" s="433"/>
      <c r="F128" s="288">
        <v>12500000</v>
      </c>
      <c r="G128" s="17"/>
      <c r="H128" s="494"/>
      <c r="I128" s="506">
        <f t="shared" si="70"/>
        <v>12500000</v>
      </c>
    </row>
    <row r="129" spans="3:9" ht="40.5" customHeight="1" x14ac:dyDescent="0.2">
      <c r="C129" s="161" t="s">
        <v>589</v>
      </c>
      <c r="D129" s="406" t="s">
        <v>62</v>
      </c>
      <c r="E129" s="434"/>
      <c r="F129" s="288"/>
      <c r="G129" s="17"/>
      <c r="H129" s="494"/>
      <c r="I129" s="506">
        <f t="shared" si="70"/>
        <v>0</v>
      </c>
    </row>
    <row r="130" spans="3:9" ht="33" customHeight="1" x14ac:dyDescent="0.2">
      <c r="C130" s="161" t="s">
        <v>660</v>
      </c>
      <c r="D130" s="406" t="s">
        <v>63</v>
      </c>
      <c r="E130" s="434">
        <v>12400000</v>
      </c>
      <c r="F130" s="288">
        <v>24500000</v>
      </c>
      <c r="G130" s="17"/>
      <c r="H130" s="494"/>
      <c r="I130" s="506">
        <f t="shared" si="70"/>
        <v>36900000</v>
      </c>
    </row>
    <row r="131" spans="3:9" ht="37.5" customHeight="1" x14ac:dyDescent="0.2">
      <c r="C131" s="161" t="s">
        <v>661</v>
      </c>
      <c r="D131" s="406" t="s">
        <v>664</v>
      </c>
      <c r="E131" s="433"/>
      <c r="F131" s="288"/>
      <c r="G131" s="17"/>
      <c r="H131" s="494"/>
      <c r="I131" s="506">
        <f t="shared" si="70"/>
        <v>0</v>
      </c>
    </row>
    <row r="132" spans="3:9" ht="37.5" customHeight="1" x14ac:dyDescent="0.2">
      <c r="C132" s="161" t="s">
        <v>662</v>
      </c>
      <c r="D132" s="406" t="s">
        <v>657</v>
      </c>
      <c r="E132" s="433"/>
      <c r="F132" s="288"/>
      <c r="G132" s="17"/>
      <c r="H132" s="494"/>
      <c r="I132" s="506">
        <f t="shared" si="70"/>
        <v>0</v>
      </c>
    </row>
    <row r="133" spans="3:9" ht="37.5" customHeight="1" x14ac:dyDescent="0.2">
      <c r="C133" s="161" t="s">
        <v>663</v>
      </c>
      <c r="D133" s="406" t="s">
        <v>658</v>
      </c>
      <c r="E133" s="433"/>
      <c r="F133" s="288"/>
      <c r="G133" s="17"/>
      <c r="H133" s="494"/>
      <c r="I133" s="506">
        <f t="shared" si="70"/>
        <v>0</v>
      </c>
    </row>
    <row r="134" spans="3:9" ht="32.25" customHeight="1" x14ac:dyDescent="0.2">
      <c r="C134" s="143" t="s">
        <v>590</v>
      </c>
      <c r="D134" s="445" t="s">
        <v>64</v>
      </c>
      <c r="E134" s="511">
        <f>SUM(E135:E136)</f>
        <v>241800000</v>
      </c>
      <c r="F134" s="92">
        <f t="shared" ref="F134" si="71">SUM(F135:F136)</f>
        <v>174000000</v>
      </c>
      <c r="G134" s="92">
        <f t="shared" ref="G134" si="72">SUM(G135:G136)</f>
        <v>0</v>
      </c>
      <c r="H134" s="512">
        <f t="shared" ref="H134" si="73">SUM(H135:H136)</f>
        <v>0</v>
      </c>
      <c r="I134" s="505">
        <f>SUM(E134:H134)</f>
        <v>415800000</v>
      </c>
    </row>
    <row r="135" spans="3:9" ht="32.25" customHeight="1" x14ac:dyDescent="0.2">
      <c r="C135" s="145" t="s">
        <v>591</v>
      </c>
      <c r="D135" s="404" t="s">
        <v>64</v>
      </c>
      <c r="E135" s="493">
        <v>241800000</v>
      </c>
      <c r="F135" s="17">
        <v>142500000</v>
      </c>
      <c r="G135" s="17"/>
      <c r="H135" s="494"/>
      <c r="I135" s="506">
        <f t="shared" si="70"/>
        <v>384300000</v>
      </c>
    </row>
    <row r="136" spans="3:9" ht="32.25" customHeight="1" x14ac:dyDescent="0.2">
      <c r="C136" s="145" t="s">
        <v>600</v>
      </c>
      <c r="D136" s="404" t="s">
        <v>69</v>
      </c>
      <c r="E136" s="513"/>
      <c r="F136" s="17">
        <v>31500000</v>
      </c>
      <c r="G136" s="17"/>
      <c r="H136" s="494"/>
      <c r="I136" s="506">
        <f t="shared" si="70"/>
        <v>31500000</v>
      </c>
    </row>
    <row r="137" spans="3:9" ht="32.25" customHeight="1" x14ac:dyDescent="0.2">
      <c r="C137" s="162" t="s">
        <v>592</v>
      </c>
      <c r="D137" s="445" t="s">
        <v>24</v>
      </c>
      <c r="E137" s="511">
        <f>SUM(E138:E139)</f>
        <v>29800000</v>
      </c>
      <c r="F137" s="92">
        <f t="shared" ref="F137" si="74">SUM(F138:F139)</f>
        <v>14000000</v>
      </c>
      <c r="G137" s="92">
        <f t="shared" ref="G137" si="75">SUM(G138:G139)</f>
        <v>0</v>
      </c>
      <c r="H137" s="512">
        <f t="shared" ref="H137" si="76">SUM(H138:H139)</f>
        <v>0</v>
      </c>
      <c r="I137" s="505">
        <f>SUM(E137:H137)</f>
        <v>43800000</v>
      </c>
    </row>
    <row r="138" spans="3:9" ht="38.25" customHeight="1" x14ac:dyDescent="0.2">
      <c r="C138" s="161" t="s">
        <v>593</v>
      </c>
      <c r="D138" s="406" t="s">
        <v>81</v>
      </c>
      <c r="E138" s="493">
        <v>27800000</v>
      </c>
      <c r="F138" s="17">
        <v>12500000</v>
      </c>
      <c r="G138" s="17"/>
      <c r="H138" s="494"/>
      <c r="I138" s="506">
        <f t="shared" ref="I138:I139" si="77">SUM(E138:H138)</f>
        <v>40300000</v>
      </c>
    </row>
    <row r="139" spans="3:9" ht="38.25" customHeight="1" x14ac:dyDescent="0.2">
      <c r="C139" s="161" t="s">
        <v>594</v>
      </c>
      <c r="D139" s="406" t="s">
        <v>682</v>
      </c>
      <c r="E139" s="513">
        <v>2000000</v>
      </c>
      <c r="F139" s="17">
        <v>1500000</v>
      </c>
      <c r="G139" s="17"/>
      <c r="H139" s="494"/>
      <c r="I139" s="506">
        <f t="shared" si="77"/>
        <v>3500000</v>
      </c>
    </row>
    <row r="140" spans="3:9" ht="33" customHeight="1" x14ac:dyDescent="0.2">
      <c r="C140" s="143" t="s">
        <v>595</v>
      </c>
      <c r="D140" s="445" t="s">
        <v>25</v>
      </c>
      <c r="E140" s="499">
        <f>E141+E144</f>
        <v>76300000</v>
      </c>
      <c r="F140" s="281">
        <f>F141+F144</f>
        <v>19700000</v>
      </c>
      <c r="G140" s="281">
        <f>G141+G144</f>
        <v>0</v>
      </c>
      <c r="H140" s="500">
        <f>H141+H144</f>
        <v>0</v>
      </c>
      <c r="I140" s="505">
        <f>SUM(E140:H140)</f>
        <v>96000000</v>
      </c>
    </row>
    <row r="141" spans="3:9" ht="33.75" customHeight="1" x14ac:dyDescent="0.2">
      <c r="C141" s="143" t="s">
        <v>596</v>
      </c>
      <c r="D141" s="428" t="s">
        <v>83</v>
      </c>
      <c r="E141" s="504">
        <f>SUM(E142:E143)</f>
        <v>35400000</v>
      </c>
      <c r="F141" s="93">
        <f t="shared" ref="F141" si="78">SUM(F142:F143)</f>
        <v>0</v>
      </c>
      <c r="G141" s="93">
        <f t="shared" ref="G141" si="79">SUM(G142:G143)</f>
        <v>0</v>
      </c>
      <c r="H141" s="507">
        <f t="shared" ref="H141" si="80">SUM(H142:H143)</f>
        <v>0</v>
      </c>
      <c r="I141" s="508">
        <f>SUM(E141:H141)</f>
        <v>35400000</v>
      </c>
    </row>
    <row r="142" spans="3:9" ht="34.5" customHeight="1" x14ac:dyDescent="0.2">
      <c r="C142" s="145" t="s">
        <v>597</v>
      </c>
      <c r="D142" s="425" t="s">
        <v>84</v>
      </c>
      <c r="E142" s="493">
        <v>14100000</v>
      </c>
      <c r="F142" s="17"/>
      <c r="G142" s="17"/>
      <c r="H142" s="494"/>
      <c r="I142" s="506">
        <f t="shared" ref="I142:I143" si="81">SUM(E142:H142)</f>
        <v>14100000</v>
      </c>
    </row>
    <row r="143" spans="3:9" ht="34.5" customHeight="1" x14ac:dyDescent="0.2">
      <c r="C143" s="145" t="s">
        <v>598</v>
      </c>
      <c r="D143" s="425" t="s">
        <v>85</v>
      </c>
      <c r="E143" s="493">
        <v>21300000</v>
      </c>
      <c r="F143" s="17"/>
      <c r="G143" s="17"/>
      <c r="H143" s="494"/>
      <c r="I143" s="506">
        <f t="shared" si="81"/>
        <v>21300000</v>
      </c>
    </row>
    <row r="144" spans="3:9" ht="34.5" customHeight="1" x14ac:dyDescent="0.2">
      <c r="C144" s="143" t="s">
        <v>599</v>
      </c>
      <c r="D144" s="577" t="s">
        <v>86</v>
      </c>
      <c r="E144" s="596">
        <f>SUM(E145:E146)</f>
        <v>40900000</v>
      </c>
      <c r="F144" s="597">
        <f t="shared" ref="F144" si="82">SUM(F145:F146)</f>
        <v>19700000</v>
      </c>
      <c r="G144" s="93">
        <f t="shared" ref="G144" si="83">SUM(G145:G146)</f>
        <v>0</v>
      </c>
      <c r="H144" s="507">
        <f t="shared" ref="H144" si="84">SUM(H145:H146)</f>
        <v>0</v>
      </c>
      <c r="I144" s="508">
        <f>SUM(E144:H144)</f>
        <v>60600000</v>
      </c>
    </row>
    <row r="145" spans="3:15" ht="37.5" customHeight="1" x14ac:dyDescent="0.2">
      <c r="C145" s="145" t="s">
        <v>601</v>
      </c>
      <c r="D145" s="425" t="s">
        <v>46</v>
      </c>
      <c r="E145" s="493">
        <v>19400000</v>
      </c>
      <c r="F145" s="17">
        <v>13200000</v>
      </c>
      <c r="G145" s="17"/>
      <c r="H145" s="494"/>
      <c r="I145" s="506">
        <f t="shared" ref="I145:I146" si="85">SUM(E145:H145)</f>
        <v>32600000</v>
      </c>
    </row>
    <row r="146" spans="3:15" ht="33" customHeight="1" x14ac:dyDescent="0.2">
      <c r="C146" s="145" t="s">
        <v>602</v>
      </c>
      <c r="D146" s="425" t="s">
        <v>47</v>
      </c>
      <c r="E146" s="493">
        <v>21500000</v>
      </c>
      <c r="F146" s="17">
        <v>6500000</v>
      </c>
      <c r="G146" s="17"/>
      <c r="H146" s="494"/>
      <c r="I146" s="506">
        <f t="shared" si="85"/>
        <v>28000000</v>
      </c>
    </row>
    <row r="147" spans="3:15" ht="35.25" customHeight="1" x14ac:dyDescent="0.2">
      <c r="C147" s="162" t="s">
        <v>603</v>
      </c>
      <c r="D147" s="445" t="s">
        <v>65</v>
      </c>
      <c r="E147" s="499">
        <f>E148+E151+E156+E157</f>
        <v>445604600</v>
      </c>
      <c r="F147" s="281">
        <f>F148+F151+F157</f>
        <v>15300000</v>
      </c>
      <c r="G147" s="281">
        <f t="shared" ref="G147:H147" si="86">G148+G151+G157</f>
        <v>0</v>
      </c>
      <c r="H147" s="500">
        <f t="shared" si="86"/>
        <v>0</v>
      </c>
      <c r="I147" s="505">
        <f>SUM(E147:H147)</f>
        <v>460904600</v>
      </c>
    </row>
    <row r="148" spans="3:15" ht="33.75" customHeight="1" x14ac:dyDescent="0.2">
      <c r="C148" s="162" t="s">
        <v>604</v>
      </c>
      <c r="D148" s="446" t="s">
        <v>66</v>
      </c>
      <c r="E148" s="504">
        <f>SUM(E149:E150)</f>
        <v>0</v>
      </c>
      <c r="F148" s="93">
        <f t="shared" ref="F148" si="87">SUM(F149:F150)</f>
        <v>0</v>
      </c>
      <c r="G148" s="93">
        <f t="shared" ref="G148" si="88">SUM(G149:G150)</f>
        <v>0</v>
      </c>
      <c r="H148" s="507">
        <f t="shared" ref="H148" si="89">SUM(H149:H150)</f>
        <v>0</v>
      </c>
      <c r="I148" s="508">
        <f>SUM(E148:H148)</f>
        <v>0</v>
      </c>
    </row>
    <row r="149" spans="3:15" ht="32.25" customHeight="1" x14ac:dyDescent="0.2">
      <c r="C149" s="161" t="s">
        <v>605</v>
      </c>
      <c r="D149" s="447" t="s">
        <v>127</v>
      </c>
      <c r="E149" s="493"/>
      <c r="F149" s="17"/>
      <c r="G149" s="17"/>
      <c r="H149" s="494"/>
      <c r="I149" s="367"/>
    </row>
    <row r="150" spans="3:15" ht="36.75" customHeight="1" x14ac:dyDescent="0.2">
      <c r="C150" s="161" t="s">
        <v>606</v>
      </c>
      <c r="D150" s="447" t="s">
        <v>128</v>
      </c>
      <c r="E150" s="493"/>
      <c r="F150" s="17"/>
      <c r="G150" s="17"/>
      <c r="H150" s="494"/>
      <c r="I150" s="367"/>
    </row>
    <row r="151" spans="3:15" ht="33" customHeight="1" x14ac:dyDescent="0.2">
      <c r="C151" s="162" t="s">
        <v>607</v>
      </c>
      <c r="D151" s="446" t="s">
        <v>67</v>
      </c>
      <c r="E151" s="504">
        <f>SUM(E152:E153)</f>
        <v>75800000</v>
      </c>
      <c r="F151" s="93">
        <f t="shared" ref="F151:H151" si="90">SUM(F152:F153)</f>
        <v>10800000</v>
      </c>
      <c r="G151" s="93">
        <f t="shared" si="90"/>
        <v>0</v>
      </c>
      <c r="H151" s="507">
        <f t="shared" si="90"/>
        <v>0</v>
      </c>
      <c r="I151" s="508">
        <f>SUM(E151:H151)</f>
        <v>86600000</v>
      </c>
    </row>
    <row r="152" spans="3:15" ht="39" customHeight="1" x14ac:dyDescent="0.2">
      <c r="C152" s="161" t="s">
        <v>608</v>
      </c>
      <c r="D152" s="447" t="s">
        <v>87</v>
      </c>
      <c r="E152" s="493">
        <v>41200000</v>
      </c>
      <c r="F152" s="17"/>
      <c r="G152" s="17"/>
      <c r="H152" s="494"/>
      <c r="I152" s="506">
        <f>SUM(E152:H152)</f>
        <v>41200000</v>
      </c>
    </row>
    <row r="153" spans="3:15" ht="34.5" customHeight="1" x14ac:dyDescent="0.2">
      <c r="C153" s="161" t="s">
        <v>609</v>
      </c>
      <c r="D153" s="447" t="s">
        <v>88</v>
      </c>
      <c r="E153" s="493">
        <v>34600000</v>
      </c>
      <c r="F153" s="17">
        <v>10800000</v>
      </c>
      <c r="G153" s="17"/>
      <c r="H153" s="494"/>
      <c r="I153" s="506">
        <f>SUM(E153:H153)</f>
        <v>45400000</v>
      </c>
    </row>
    <row r="154" spans="3:15" ht="34.5" customHeight="1" x14ac:dyDescent="0.2">
      <c r="C154" s="163" t="s">
        <v>610</v>
      </c>
      <c r="D154" s="448" t="s">
        <v>118</v>
      </c>
      <c r="E154" s="496">
        <v>562350000</v>
      </c>
      <c r="F154" s="699"/>
      <c r="G154" s="700"/>
      <c r="H154" s="701"/>
      <c r="I154" s="718"/>
    </row>
    <row r="155" spans="3:15" ht="34.5" customHeight="1" x14ac:dyDescent="0.2">
      <c r="C155" s="163" t="s">
        <v>611</v>
      </c>
      <c r="D155" s="449" t="s">
        <v>119</v>
      </c>
      <c r="E155" s="498">
        <v>0.63600000000000001</v>
      </c>
      <c r="F155" s="702"/>
      <c r="G155" s="703"/>
      <c r="H155" s="704"/>
      <c r="I155" s="719"/>
    </row>
    <row r="156" spans="3:15" ht="34.5" customHeight="1" x14ac:dyDescent="0.2">
      <c r="C156" s="163" t="s">
        <v>654</v>
      </c>
      <c r="D156" s="450" t="s">
        <v>647</v>
      </c>
      <c r="E156" s="497">
        <f>E154*E155</f>
        <v>357654600</v>
      </c>
      <c r="F156" s="705"/>
      <c r="G156" s="706"/>
      <c r="H156" s="707"/>
      <c r="I156" s="506">
        <f>SUM(E156)</f>
        <v>357654600</v>
      </c>
    </row>
    <row r="157" spans="3:15" ht="34.5" customHeight="1" thickBot="1" x14ac:dyDescent="0.25">
      <c r="C157" s="164" t="s">
        <v>655</v>
      </c>
      <c r="D157" s="451" t="s">
        <v>648</v>
      </c>
      <c r="E157" s="501">
        <v>12150000</v>
      </c>
      <c r="F157" s="282">
        <v>4500000</v>
      </c>
      <c r="G157" s="282"/>
      <c r="H157" s="502"/>
      <c r="I157" s="503"/>
    </row>
    <row r="158" spans="3:15" ht="28.5" customHeight="1" x14ac:dyDescent="0.2"/>
    <row r="159" spans="3:15" ht="28.5" customHeight="1" thickBot="1" x14ac:dyDescent="0.25">
      <c r="C159" s="165"/>
      <c r="D159" s="20"/>
      <c r="E159" s="20"/>
      <c r="F159" s="20"/>
      <c r="G159" s="20"/>
      <c r="I159" s="556"/>
    </row>
    <row r="160" spans="3:15" ht="28.5" customHeight="1" thickBot="1" x14ac:dyDescent="0.25">
      <c r="C160" s="630" t="s">
        <v>441</v>
      </c>
      <c r="D160" s="331" t="s">
        <v>129</v>
      </c>
      <c r="E160" s="514"/>
      <c r="F160" s="332"/>
      <c r="I160" s="556"/>
      <c r="J160" s="556"/>
      <c r="K160" s="556"/>
      <c r="L160" s="556"/>
      <c r="M160" s="556"/>
      <c r="N160" s="556"/>
      <c r="O160" s="556"/>
    </row>
    <row r="161" spans="2:17" ht="28.5" customHeight="1" thickBot="1" x14ac:dyDescent="0.25">
      <c r="C161" s="632"/>
      <c r="D161" s="515" t="s">
        <v>679</v>
      </c>
      <c r="E161" s="130" t="s">
        <v>680</v>
      </c>
      <c r="F161" s="129" t="s">
        <v>666</v>
      </c>
      <c r="I161" s="556"/>
      <c r="J161" s="556"/>
      <c r="K161" s="556"/>
      <c r="L161" s="556"/>
      <c r="M161" s="556"/>
      <c r="N161" s="556"/>
      <c r="O161" s="556"/>
      <c r="P161" s="556"/>
      <c r="Q161" s="556"/>
    </row>
    <row r="162" spans="2:17" ht="30" customHeight="1" x14ac:dyDescent="0.2">
      <c r="C162" s="94" t="s">
        <v>442</v>
      </c>
      <c r="D162" s="516" t="s">
        <v>131</v>
      </c>
      <c r="E162" s="320">
        <v>2000000000</v>
      </c>
      <c r="F162" s="321">
        <v>400000000</v>
      </c>
      <c r="H162" s="551"/>
      <c r="I162" s="190"/>
    </row>
    <row r="163" spans="2:17" ht="30" customHeight="1" thickBot="1" x14ac:dyDescent="0.25">
      <c r="C163" s="95" t="s">
        <v>443</v>
      </c>
      <c r="D163" s="517" t="s">
        <v>191</v>
      </c>
      <c r="E163" s="303">
        <v>2250000000</v>
      </c>
      <c r="F163" s="322">
        <v>518000000</v>
      </c>
      <c r="H163" s="555"/>
      <c r="I163" s="190"/>
    </row>
    <row r="164" spans="2:17" ht="30" customHeight="1" thickBot="1" x14ac:dyDescent="0.25">
      <c r="C164" s="327"/>
      <c r="D164" s="552"/>
      <c r="E164" s="553"/>
      <c r="F164" s="553"/>
      <c r="I164" s="551"/>
    </row>
    <row r="165" spans="2:17" ht="28.5" customHeight="1" thickBot="1" x14ac:dyDescent="0.25">
      <c r="B165" s="603" t="s">
        <v>453</v>
      </c>
      <c r="C165" s="604"/>
      <c r="D165" s="126" t="s">
        <v>133</v>
      </c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8"/>
    </row>
    <row r="166" spans="2:17" ht="28.5" customHeight="1" thickBot="1" x14ac:dyDescent="0.25">
      <c r="B166" s="605"/>
      <c r="C166" s="606"/>
      <c r="D166" s="126" t="s">
        <v>679</v>
      </c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8"/>
    </row>
    <row r="167" spans="2:17" ht="33.75" customHeight="1" thickBot="1" x14ac:dyDescent="0.25">
      <c r="B167" s="605"/>
      <c r="C167" s="606"/>
      <c r="D167" s="126" t="s">
        <v>684</v>
      </c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8"/>
    </row>
    <row r="168" spans="2:17" ht="43.5" customHeight="1" thickBot="1" x14ac:dyDescent="0.25">
      <c r="B168" s="605"/>
      <c r="C168" s="606"/>
      <c r="D168" s="317" t="s">
        <v>685</v>
      </c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8"/>
    </row>
    <row r="169" spans="2:17" ht="43.5" customHeight="1" thickBot="1" x14ac:dyDescent="0.25">
      <c r="B169" s="605"/>
      <c r="C169" s="606"/>
      <c r="D169" s="633" t="s">
        <v>135</v>
      </c>
      <c r="E169" s="611" t="s">
        <v>686</v>
      </c>
      <c r="F169" s="612"/>
      <c r="G169" s="720" t="s">
        <v>687</v>
      </c>
      <c r="H169" s="721"/>
      <c r="I169" s="611" t="s">
        <v>688</v>
      </c>
      <c r="J169" s="612"/>
      <c r="K169" s="611" t="s">
        <v>689</v>
      </c>
      <c r="L169" s="612"/>
      <c r="M169" s="611" t="s">
        <v>690</v>
      </c>
      <c r="N169" s="612"/>
      <c r="O169" s="611" t="s">
        <v>691</v>
      </c>
      <c r="P169" s="612"/>
    </row>
    <row r="170" spans="2:17" ht="42" customHeight="1" thickBot="1" x14ac:dyDescent="0.25">
      <c r="B170" s="607"/>
      <c r="C170" s="608"/>
      <c r="D170" s="634"/>
      <c r="E170" s="59" t="s">
        <v>149</v>
      </c>
      <c r="F170" s="60" t="s">
        <v>150</v>
      </c>
      <c r="G170" s="59" t="s">
        <v>149</v>
      </c>
      <c r="H170" s="60" t="s">
        <v>150</v>
      </c>
      <c r="I170" s="59" t="s">
        <v>149</v>
      </c>
      <c r="J170" s="60" t="s">
        <v>150</v>
      </c>
      <c r="K170" s="59" t="s">
        <v>149</v>
      </c>
      <c r="L170" s="60" t="s">
        <v>150</v>
      </c>
      <c r="M170" s="59" t="s">
        <v>149</v>
      </c>
      <c r="N170" s="60" t="s">
        <v>150</v>
      </c>
      <c r="O170" s="59" t="s">
        <v>149</v>
      </c>
      <c r="P170" s="60" t="s">
        <v>150</v>
      </c>
    </row>
    <row r="171" spans="2:17" ht="33" customHeight="1" x14ac:dyDescent="0.2">
      <c r="B171" s="630" t="s">
        <v>444</v>
      </c>
      <c r="C171" s="94" t="s">
        <v>445</v>
      </c>
      <c r="D171" s="309" t="s">
        <v>151</v>
      </c>
      <c r="E171" s="554">
        <v>1394552073</v>
      </c>
      <c r="F171" s="546">
        <v>62934</v>
      </c>
      <c r="G171" s="545"/>
      <c r="H171" s="546"/>
      <c r="I171" s="194"/>
      <c r="J171" s="540"/>
      <c r="K171" s="194"/>
      <c r="L171" s="540"/>
      <c r="M171" s="194"/>
      <c r="N171" s="540"/>
      <c r="O171" s="194"/>
      <c r="P171" s="540"/>
    </row>
    <row r="172" spans="2:17" ht="37.5" customHeight="1" x14ac:dyDescent="0.2">
      <c r="B172" s="631"/>
      <c r="C172" s="97" t="s">
        <v>446</v>
      </c>
      <c r="D172" s="310" t="s">
        <v>152</v>
      </c>
      <c r="E172" s="195">
        <v>109508222</v>
      </c>
      <c r="F172" s="547">
        <v>13657</v>
      </c>
      <c r="G172" s="195"/>
      <c r="H172" s="541"/>
      <c r="I172" s="195"/>
      <c r="J172" s="541"/>
      <c r="K172" s="195"/>
      <c r="L172" s="541"/>
      <c r="M172" s="195"/>
      <c r="N172" s="541"/>
      <c r="O172" s="195"/>
      <c r="P172" s="541"/>
    </row>
    <row r="173" spans="2:17" ht="37.5" customHeight="1" x14ac:dyDescent="0.2">
      <c r="B173" s="631"/>
      <c r="C173" s="97" t="s">
        <v>447</v>
      </c>
      <c r="D173" s="310" t="s">
        <v>153</v>
      </c>
      <c r="E173" s="196">
        <v>14035721</v>
      </c>
      <c r="F173" s="548">
        <v>1667</v>
      </c>
      <c r="G173" s="196">
        <v>31348721</v>
      </c>
      <c r="H173" s="548">
        <v>93</v>
      </c>
      <c r="I173" s="196"/>
      <c r="J173" s="542"/>
      <c r="K173" s="196"/>
      <c r="L173" s="542"/>
      <c r="M173" s="196"/>
      <c r="N173" s="542"/>
      <c r="O173" s="196"/>
      <c r="P173" s="542"/>
    </row>
    <row r="174" spans="2:17" ht="40.5" customHeight="1" x14ac:dyDescent="0.2">
      <c r="B174" s="631"/>
      <c r="C174" s="97" t="s">
        <v>448</v>
      </c>
      <c r="D174" s="310" t="s">
        <v>154</v>
      </c>
      <c r="E174" s="196">
        <v>781655</v>
      </c>
      <c r="F174" s="548">
        <v>47</v>
      </c>
      <c r="G174" s="196"/>
      <c r="H174" s="542"/>
      <c r="I174" s="196"/>
      <c r="J174" s="542"/>
      <c r="K174" s="196"/>
      <c r="L174" s="542"/>
      <c r="M174" s="196"/>
      <c r="N174" s="542"/>
      <c r="O174" s="196"/>
      <c r="P174" s="542"/>
    </row>
    <row r="175" spans="2:17" ht="37.5" customHeight="1" x14ac:dyDescent="0.2">
      <c r="B175" s="631"/>
      <c r="C175" s="97" t="s">
        <v>449</v>
      </c>
      <c r="D175" s="310" t="s">
        <v>155</v>
      </c>
      <c r="E175" s="196">
        <v>154657</v>
      </c>
      <c r="F175" s="548">
        <v>32</v>
      </c>
      <c r="G175" s="196"/>
      <c r="H175" s="542"/>
      <c r="I175" s="196"/>
      <c r="J175" s="542"/>
      <c r="K175" s="196"/>
      <c r="L175" s="542"/>
      <c r="M175" s="196"/>
      <c r="N175" s="542"/>
      <c r="O175" s="196"/>
      <c r="P175" s="542"/>
    </row>
    <row r="176" spans="2:17" ht="37.5" customHeight="1" x14ac:dyDescent="0.2">
      <c r="B176" s="631"/>
      <c r="C176" s="97" t="s">
        <v>450</v>
      </c>
      <c r="D176" s="310" t="s">
        <v>156</v>
      </c>
      <c r="E176" s="196">
        <v>0</v>
      </c>
      <c r="F176" s="548">
        <v>0</v>
      </c>
      <c r="G176" s="196"/>
      <c r="H176" s="542"/>
      <c r="I176" s="196"/>
      <c r="J176" s="542"/>
      <c r="K176" s="196"/>
      <c r="L176" s="542"/>
      <c r="M176" s="196"/>
      <c r="N176" s="542"/>
      <c r="O176" s="196"/>
      <c r="P176" s="542"/>
    </row>
    <row r="177" spans="2:16" ht="38.25" customHeight="1" x14ac:dyDescent="0.2">
      <c r="B177" s="631"/>
      <c r="C177" s="97" t="s">
        <v>451</v>
      </c>
      <c r="D177" s="353" t="s">
        <v>157</v>
      </c>
      <c r="E177" s="197">
        <v>0</v>
      </c>
      <c r="F177" s="549">
        <v>0</v>
      </c>
      <c r="G177" s="197"/>
      <c r="H177" s="543"/>
      <c r="I177" s="197"/>
      <c r="J177" s="543"/>
      <c r="K177" s="197"/>
      <c r="L177" s="543"/>
      <c r="M177" s="197"/>
      <c r="N177" s="543"/>
      <c r="O177" s="197"/>
      <c r="P177" s="543"/>
    </row>
    <row r="178" spans="2:16" ht="36" customHeight="1" thickBot="1" x14ac:dyDescent="0.25">
      <c r="B178" s="632"/>
      <c r="C178" s="95" t="s">
        <v>452</v>
      </c>
      <c r="D178" s="311" t="s">
        <v>99</v>
      </c>
      <c r="E178" s="198">
        <v>0</v>
      </c>
      <c r="F178" s="550">
        <v>0</v>
      </c>
      <c r="G178" s="198"/>
      <c r="H178" s="544"/>
      <c r="I178" s="198"/>
      <c r="J178" s="544"/>
      <c r="K178" s="198"/>
      <c r="L178" s="544"/>
      <c r="M178" s="198"/>
      <c r="N178" s="544"/>
      <c r="O178" s="198"/>
      <c r="P178" s="544"/>
    </row>
    <row r="179" spans="2:16" ht="32.25" customHeight="1" x14ac:dyDescent="0.2">
      <c r="B179" s="630" t="s">
        <v>454</v>
      </c>
      <c r="C179" s="166" t="s">
        <v>455</v>
      </c>
      <c r="D179" s="312" t="s">
        <v>151</v>
      </c>
      <c r="E179" s="554">
        <v>4349925073</v>
      </c>
      <c r="F179" s="546">
        <v>47396</v>
      </c>
      <c r="G179" s="194"/>
      <c r="H179" s="540"/>
      <c r="I179" s="545"/>
      <c r="J179" s="546"/>
      <c r="K179" s="545"/>
      <c r="L179" s="546"/>
      <c r="M179" s="194"/>
      <c r="N179" s="540"/>
      <c r="O179" s="194"/>
      <c r="P179" s="540"/>
    </row>
    <row r="180" spans="2:16" ht="33.75" customHeight="1" x14ac:dyDescent="0.2">
      <c r="B180" s="631"/>
      <c r="C180" s="166" t="s">
        <v>456</v>
      </c>
      <c r="D180" s="312" t="s">
        <v>152</v>
      </c>
      <c r="E180" s="195">
        <v>161085230</v>
      </c>
      <c r="F180" s="547">
        <v>3768</v>
      </c>
      <c r="G180" s="195"/>
      <c r="H180" s="541"/>
      <c r="I180" s="195"/>
      <c r="J180" s="541"/>
      <c r="K180" s="195"/>
      <c r="L180" s="541"/>
      <c r="M180" s="195"/>
      <c r="N180" s="541"/>
      <c r="O180" s="195"/>
      <c r="P180" s="541"/>
    </row>
    <row r="181" spans="2:16" ht="37.5" customHeight="1" x14ac:dyDescent="0.2">
      <c r="B181" s="631"/>
      <c r="C181" s="166" t="s">
        <v>457</v>
      </c>
      <c r="D181" s="312" t="s">
        <v>153</v>
      </c>
      <c r="E181" s="195"/>
      <c r="F181" s="547"/>
      <c r="G181" s="196"/>
      <c r="H181" s="542"/>
      <c r="I181" s="196"/>
      <c r="J181" s="542"/>
      <c r="K181" s="196"/>
      <c r="L181" s="542"/>
      <c r="M181" s="196"/>
      <c r="N181" s="542"/>
      <c r="O181" s="196"/>
      <c r="P181" s="542"/>
    </row>
    <row r="182" spans="2:16" ht="36" customHeight="1" x14ac:dyDescent="0.2">
      <c r="B182" s="631"/>
      <c r="C182" s="166" t="s">
        <v>458</v>
      </c>
      <c r="D182" s="312" t="s">
        <v>154</v>
      </c>
      <c r="E182" s="196"/>
      <c r="F182" s="548"/>
      <c r="G182" s="196"/>
      <c r="H182" s="542"/>
      <c r="I182" s="196"/>
      <c r="J182" s="542"/>
      <c r="K182" s="196"/>
      <c r="L182" s="542"/>
      <c r="M182" s="196"/>
      <c r="N182" s="542"/>
      <c r="O182" s="196"/>
      <c r="P182" s="542"/>
    </row>
    <row r="183" spans="2:16" ht="36" customHeight="1" x14ac:dyDescent="0.2">
      <c r="B183" s="631"/>
      <c r="C183" s="166" t="s">
        <v>459</v>
      </c>
      <c r="D183" s="312" t="s">
        <v>155</v>
      </c>
      <c r="E183" s="196"/>
      <c r="F183" s="548"/>
      <c r="G183" s="196"/>
      <c r="H183" s="542"/>
      <c r="I183" s="196"/>
      <c r="J183" s="542"/>
      <c r="K183" s="196"/>
      <c r="L183" s="542"/>
      <c r="M183" s="196"/>
      <c r="N183" s="542"/>
      <c r="O183" s="196"/>
      <c r="P183" s="542"/>
    </row>
    <row r="184" spans="2:16" ht="34.5" customHeight="1" x14ac:dyDescent="0.2">
      <c r="B184" s="631"/>
      <c r="C184" s="166" t="s">
        <v>460</v>
      </c>
      <c r="D184" s="312" t="s">
        <v>156</v>
      </c>
      <c r="E184" s="196"/>
      <c r="F184" s="548"/>
      <c r="G184" s="196"/>
      <c r="H184" s="542"/>
      <c r="I184" s="196"/>
      <c r="J184" s="542"/>
      <c r="K184" s="196"/>
      <c r="L184" s="542"/>
      <c r="M184" s="196"/>
      <c r="N184" s="542"/>
      <c r="O184" s="196"/>
      <c r="P184" s="542"/>
    </row>
    <row r="185" spans="2:16" ht="29.25" customHeight="1" x14ac:dyDescent="0.2">
      <c r="B185" s="631"/>
      <c r="C185" s="166" t="s">
        <v>461</v>
      </c>
      <c r="D185" s="313" t="s">
        <v>157</v>
      </c>
      <c r="E185" s="197"/>
      <c r="F185" s="549"/>
      <c r="G185" s="197"/>
      <c r="H185" s="543"/>
      <c r="I185" s="197"/>
      <c r="J185" s="543"/>
      <c r="K185" s="197"/>
      <c r="L185" s="543"/>
      <c r="M185" s="197"/>
      <c r="N185" s="543"/>
      <c r="O185" s="197"/>
      <c r="P185" s="543"/>
    </row>
    <row r="186" spans="2:16" ht="42.75" customHeight="1" thickBot="1" x14ac:dyDescent="0.25">
      <c r="B186" s="632"/>
      <c r="C186" s="167" t="s">
        <v>462</v>
      </c>
      <c r="D186" s="314" t="s">
        <v>99</v>
      </c>
      <c r="E186" s="198"/>
      <c r="F186" s="550"/>
      <c r="G186" s="198"/>
      <c r="H186" s="544"/>
      <c r="I186" s="198"/>
      <c r="J186" s="544"/>
      <c r="K186" s="198"/>
      <c r="L186" s="544"/>
      <c r="M186" s="198"/>
      <c r="N186" s="544"/>
      <c r="O186" s="198"/>
      <c r="P186" s="544"/>
    </row>
    <row r="187" spans="2:16" ht="35.25" customHeight="1" x14ac:dyDescent="0.2">
      <c r="B187" s="630" t="s">
        <v>463</v>
      </c>
      <c r="C187" s="94" t="s">
        <v>464</v>
      </c>
      <c r="D187" s="309" t="s">
        <v>151</v>
      </c>
      <c r="E187" s="554">
        <v>10345927040</v>
      </c>
      <c r="F187" s="546">
        <v>51859</v>
      </c>
      <c r="G187" s="194"/>
      <c r="H187" s="540"/>
      <c r="I187" s="545"/>
      <c r="J187" s="546"/>
      <c r="K187" s="545"/>
      <c r="L187" s="546"/>
      <c r="M187" s="194"/>
      <c r="N187" s="540"/>
      <c r="O187" s="194"/>
      <c r="P187" s="540"/>
    </row>
    <row r="188" spans="2:16" ht="38.25" customHeight="1" x14ac:dyDescent="0.2">
      <c r="B188" s="631"/>
      <c r="C188" s="97" t="s">
        <v>465</v>
      </c>
      <c r="D188" s="315" t="s">
        <v>152</v>
      </c>
      <c r="E188" s="195">
        <v>108451820</v>
      </c>
      <c r="F188" s="547">
        <v>811</v>
      </c>
      <c r="G188" s="195"/>
      <c r="H188" s="541"/>
      <c r="I188" s="195"/>
      <c r="J188" s="541"/>
      <c r="K188" s="195"/>
      <c r="L188" s="541"/>
      <c r="M188" s="195"/>
      <c r="N188" s="541"/>
      <c r="O188" s="195"/>
      <c r="P188" s="541"/>
    </row>
    <row r="189" spans="2:16" ht="42" customHeight="1" x14ac:dyDescent="0.2">
      <c r="B189" s="631"/>
      <c r="C189" s="97" t="s">
        <v>466</v>
      </c>
      <c r="D189" s="598" t="s">
        <v>153</v>
      </c>
      <c r="E189" s="599">
        <v>98583350</v>
      </c>
      <c r="F189" s="600">
        <v>427</v>
      </c>
      <c r="G189" s="599">
        <v>317815660</v>
      </c>
      <c r="H189" s="600">
        <v>441</v>
      </c>
      <c r="I189" s="599">
        <v>3276187650</v>
      </c>
      <c r="J189" s="600">
        <v>503</v>
      </c>
      <c r="K189" s="599">
        <v>10843180150</v>
      </c>
      <c r="L189" s="600">
        <v>206</v>
      </c>
      <c r="M189" s="599">
        <v>18355991500</v>
      </c>
      <c r="N189" s="600">
        <v>91</v>
      </c>
      <c r="O189" s="599">
        <v>4135019200</v>
      </c>
      <c r="P189" s="600">
        <v>3</v>
      </c>
    </row>
    <row r="190" spans="2:16" ht="38.25" customHeight="1" x14ac:dyDescent="0.2">
      <c r="B190" s="631"/>
      <c r="C190" s="97" t="s">
        <v>467</v>
      </c>
      <c r="D190" s="315" t="s">
        <v>154</v>
      </c>
      <c r="E190" s="195">
        <v>4015750</v>
      </c>
      <c r="F190" s="547">
        <v>19</v>
      </c>
      <c r="G190" s="195">
        <v>8934570</v>
      </c>
      <c r="H190" s="547">
        <v>8</v>
      </c>
      <c r="I190" s="195">
        <v>57164300</v>
      </c>
      <c r="J190" s="547">
        <v>7</v>
      </c>
      <c r="K190" s="195">
        <v>103460700</v>
      </c>
      <c r="L190" s="547">
        <v>2</v>
      </c>
      <c r="M190" s="196"/>
      <c r="N190" s="542"/>
      <c r="O190" s="196"/>
      <c r="P190" s="542"/>
    </row>
    <row r="191" spans="2:16" ht="36" customHeight="1" x14ac:dyDescent="0.2">
      <c r="B191" s="631"/>
      <c r="C191" s="97" t="s">
        <v>468</v>
      </c>
      <c r="D191" s="315" t="s">
        <v>155</v>
      </c>
      <c r="E191" s="195">
        <v>908340</v>
      </c>
      <c r="F191" s="547">
        <v>4</v>
      </c>
      <c r="G191" s="195">
        <v>5143790</v>
      </c>
      <c r="H191" s="547">
        <v>4</v>
      </c>
      <c r="I191" s="195">
        <v>28735400</v>
      </c>
      <c r="J191" s="547">
        <v>4</v>
      </c>
      <c r="K191" s="195">
        <v>1138674500</v>
      </c>
      <c r="L191" s="547">
        <v>17</v>
      </c>
      <c r="M191" s="195">
        <v>813964500</v>
      </c>
      <c r="N191" s="547">
        <v>3</v>
      </c>
      <c r="O191" s="196"/>
      <c r="P191" s="542"/>
    </row>
    <row r="192" spans="2:16" ht="30.75" customHeight="1" x14ac:dyDescent="0.2">
      <c r="B192" s="631"/>
      <c r="C192" s="97" t="s">
        <v>469</v>
      </c>
      <c r="D192" s="315" t="s">
        <v>156</v>
      </c>
      <c r="E192" s="196"/>
      <c r="F192" s="548"/>
      <c r="G192" s="197"/>
      <c r="H192" s="543"/>
      <c r="I192" s="195">
        <v>8575000</v>
      </c>
      <c r="J192" s="547">
        <v>1</v>
      </c>
      <c r="K192" s="195">
        <v>8575000</v>
      </c>
      <c r="L192" s="547">
        <v>1</v>
      </c>
      <c r="M192" s="196"/>
      <c r="N192" s="542"/>
      <c r="O192" s="196"/>
      <c r="P192" s="542"/>
    </row>
    <row r="193" spans="2:16" ht="42" customHeight="1" x14ac:dyDescent="0.2">
      <c r="B193" s="631"/>
      <c r="C193" s="97" t="s">
        <v>470</v>
      </c>
      <c r="D193" s="310" t="s">
        <v>157</v>
      </c>
      <c r="E193" s="197"/>
      <c r="F193" s="549"/>
      <c r="G193" s="197"/>
      <c r="H193" s="543"/>
      <c r="I193" s="197">
        <v>50435100</v>
      </c>
      <c r="J193" s="548">
        <v>6</v>
      </c>
      <c r="K193" s="197">
        <v>135590340</v>
      </c>
      <c r="L193" s="548">
        <v>6</v>
      </c>
      <c r="M193" s="197"/>
      <c r="N193" s="543"/>
      <c r="O193" s="197"/>
      <c r="P193" s="543"/>
    </row>
    <row r="194" spans="2:16" ht="39" customHeight="1" x14ac:dyDescent="0.2">
      <c r="B194" s="631"/>
      <c r="C194" s="97" t="s">
        <v>471</v>
      </c>
      <c r="D194" s="316" t="s">
        <v>99</v>
      </c>
      <c r="E194" s="197"/>
      <c r="F194" s="549"/>
      <c r="G194" s="197"/>
      <c r="H194" s="543"/>
      <c r="I194" s="197">
        <v>31825600</v>
      </c>
      <c r="J194" s="548">
        <v>4</v>
      </c>
      <c r="K194" s="197">
        <v>106250800</v>
      </c>
      <c r="L194" s="548">
        <v>5</v>
      </c>
      <c r="M194" s="197"/>
      <c r="N194" s="543"/>
      <c r="O194" s="197"/>
      <c r="P194" s="543"/>
    </row>
    <row r="195" spans="2:16" ht="39" customHeight="1" thickBot="1" x14ac:dyDescent="0.25">
      <c r="B195" s="632"/>
      <c r="C195" s="95" t="s">
        <v>472</v>
      </c>
      <c r="D195" s="311" t="s">
        <v>158</v>
      </c>
      <c r="E195" s="198"/>
      <c r="F195" s="550"/>
      <c r="G195" s="198"/>
      <c r="H195" s="544"/>
      <c r="I195" s="198"/>
      <c r="J195" s="544"/>
      <c r="K195" s="198"/>
      <c r="L195" s="550"/>
      <c r="M195" s="198"/>
      <c r="N195" s="544"/>
      <c r="O195" s="198"/>
      <c r="P195" s="544"/>
    </row>
    <row r="196" spans="2:16" ht="30" customHeight="1" x14ac:dyDescent="0.2">
      <c r="C196" s="327"/>
      <c r="D196" s="552"/>
      <c r="E196" s="553"/>
      <c r="F196" s="553"/>
      <c r="I196" s="551"/>
      <c r="J196" s="190"/>
      <c r="L196" s="190"/>
    </row>
    <row r="197" spans="2:16" ht="28.5" customHeight="1" thickBot="1" x14ac:dyDescent="0.25">
      <c r="C197" s="165"/>
      <c r="D197" s="20"/>
      <c r="E197" s="20"/>
      <c r="F197" s="20"/>
      <c r="G197" s="20"/>
      <c r="J197" s="190"/>
    </row>
    <row r="198" spans="2:16" ht="28.5" customHeight="1" thickBot="1" x14ac:dyDescent="0.25">
      <c r="B198" s="603" t="s">
        <v>453</v>
      </c>
      <c r="C198" s="604"/>
      <c r="D198" s="126" t="s">
        <v>133</v>
      </c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8"/>
    </row>
    <row r="199" spans="2:16" ht="28.5" customHeight="1" thickBot="1" x14ac:dyDescent="0.25">
      <c r="B199" s="605"/>
      <c r="C199" s="606"/>
      <c r="D199" s="126" t="s">
        <v>679</v>
      </c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8"/>
    </row>
    <row r="200" spans="2:16" ht="33.75" customHeight="1" thickBot="1" x14ac:dyDescent="0.25">
      <c r="B200" s="605"/>
      <c r="C200" s="606"/>
      <c r="D200" s="126" t="s">
        <v>673</v>
      </c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8"/>
    </row>
    <row r="201" spans="2:16" ht="43.5" customHeight="1" thickBot="1" x14ac:dyDescent="0.25">
      <c r="B201" s="605"/>
      <c r="C201" s="606"/>
      <c r="D201" s="317" t="s">
        <v>674</v>
      </c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8"/>
    </row>
    <row r="202" spans="2:16" ht="43.5" customHeight="1" thickBot="1" x14ac:dyDescent="0.25">
      <c r="B202" s="605"/>
      <c r="C202" s="606"/>
      <c r="D202" s="633" t="s">
        <v>135</v>
      </c>
      <c r="E202" s="611" t="s">
        <v>686</v>
      </c>
      <c r="F202" s="612"/>
      <c r="G202" s="720" t="s">
        <v>687</v>
      </c>
      <c r="H202" s="721"/>
      <c r="I202" s="611" t="s">
        <v>688</v>
      </c>
      <c r="J202" s="612"/>
      <c r="K202" s="611" t="s">
        <v>689</v>
      </c>
      <c r="L202" s="612"/>
      <c r="M202" s="611" t="s">
        <v>690</v>
      </c>
      <c r="N202" s="612"/>
      <c r="O202" s="611" t="s">
        <v>691</v>
      </c>
      <c r="P202" s="612"/>
    </row>
    <row r="203" spans="2:16" ht="42" customHeight="1" thickBot="1" x14ac:dyDescent="0.25">
      <c r="B203" s="607"/>
      <c r="C203" s="608"/>
      <c r="D203" s="634"/>
      <c r="E203" s="59" t="s">
        <v>149</v>
      </c>
      <c r="F203" s="60" t="s">
        <v>150</v>
      </c>
      <c r="G203" s="59" t="s">
        <v>149</v>
      </c>
      <c r="H203" s="60" t="s">
        <v>150</v>
      </c>
      <c r="I203" s="59" t="s">
        <v>149</v>
      </c>
      <c r="J203" s="60" t="s">
        <v>150</v>
      </c>
      <c r="K203" s="59" t="s">
        <v>149</v>
      </c>
      <c r="L203" s="60" t="s">
        <v>150</v>
      </c>
      <c r="M203" s="59" t="s">
        <v>149</v>
      </c>
      <c r="N203" s="60" t="s">
        <v>150</v>
      </c>
      <c r="O203" s="59" t="s">
        <v>149</v>
      </c>
      <c r="P203" s="60" t="s">
        <v>150</v>
      </c>
    </row>
    <row r="204" spans="2:16" ht="33" customHeight="1" x14ac:dyDescent="0.2">
      <c r="B204" s="630" t="s">
        <v>444</v>
      </c>
      <c r="C204" s="94" t="s">
        <v>445</v>
      </c>
      <c r="D204" s="309" t="s">
        <v>151</v>
      </c>
      <c r="E204" s="545"/>
      <c r="F204" s="546"/>
      <c r="G204" s="554">
        <v>658700</v>
      </c>
      <c r="H204" s="546">
        <v>12</v>
      </c>
      <c r="I204" s="194"/>
      <c r="J204" s="540"/>
      <c r="K204" s="194"/>
      <c r="L204" s="540"/>
      <c r="M204" s="194"/>
      <c r="N204" s="540"/>
      <c r="O204" s="194"/>
      <c r="P204" s="540"/>
    </row>
    <row r="205" spans="2:16" ht="37.5" customHeight="1" x14ac:dyDescent="0.2">
      <c r="B205" s="631"/>
      <c r="C205" s="97" t="s">
        <v>446</v>
      </c>
      <c r="D205" s="310" t="s">
        <v>152</v>
      </c>
      <c r="E205" s="195"/>
      <c r="F205" s="547"/>
      <c r="G205" s="195"/>
      <c r="H205" s="541"/>
      <c r="I205" s="195"/>
      <c r="J205" s="541"/>
      <c r="K205" s="195"/>
      <c r="L205" s="541"/>
      <c r="M205" s="195"/>
      <c r="N205" s="541"/>
      <c r="O205" s="195"/>
      <c r="P205" s="541"/>
    </row>
    <row r="206" spans="2:16" ht="37.5" customHeight="1" x14ac:dyDescent="0.2">
      <c r="B206" s="631"/>
      <c r="C206" s="97" t="s">
        <v>447</v>
      </c>
      <c r="D206" s="310" t="s">
        <v>153</v>
      </c>
      <c r="E206" s="196"/>
      <c r="F206" s="548"/>
      <c r="G206" s="196">
        <v>368000</v>
      </c>
      <c r="H206" s="548">
        <v>24</v>
      </c>
      <c r="I206" s="196"/>
      <c r="J206" s="542"/>
      <c r="K206" s="196"/>
      <c r="L206" s="542"/>
      <c r="M206" s="196"/>
      <c r="N206" s="542"/>
      <c r="O206" s="196"/>
      <c r="P206" s="542"/>
    </row>
    <row r="207" spans="2:16" ht="40.5" customHeight="1" x14ac:dyDescent="0.2">
      <c r="B207" s="631"/>
      <c r="C207" s="97" t="s">
        <v>448</v>
      </c>
      <c r="D207" s="310" t="s">
        <v>154</v>
      </c>
      <c r="E207" s="196"/>
      <c r="F207" s="548"/>
      <c r="G207" s="196">
        <v>2650000</v>
      </c>
      <c r="H207" s="548">
        <v>21</v>
      </c>
      <c r="I207" s="196"/>
      <c r="J207" s="542"/>
      <c r="K207" s="196"/>
      <c r="L207" s="542"/>
      <c r="M207" s="196"/>
      <c r="N207" s="542"/>
      <c r="O207" s="196"/>
      <c r="P207" s="542"/>
    </row>
    <row r="208" spans="2:16" ht="37.5" customHeight="1" x14ac:dyDescent="0.2">
      <c r="B208" s="631"/>
      <c r="C208" s="97" t="s">
        <v>449</v>
      </c>
      <c r="D208" s="310" t="s">
        <v>155</v>
      </c>
      <c r="E208" s="196"/>
      <c r="F208" s="548"/>
      <c r="G208" s="196">
        <v>206000</v>
      </c>
      <c r="H208" s="548">
        <v>18</v>
      </c>
      <c r="I208" s="196"/>
      <c r="J208" s="542"/>
      <c r="K208" s="196"/>
      <c r="L208" s="542"/>
      <c r="M208" s="196"/>
      <c r="N208" s="542"/>
      <c r="O208" s="196"/>
      <c r="P208" s="542"/>
    </row>
    <row r="209" spans="2:16" ht="37.5" customHeight="1" x14ac:dyDescent="0.2">
      <c r="B209" s="631"/>
      <c r="C209" s="97" t="s">
        <v>450</v>
      </c>
      <c r="D209" s="310" t="s">
        <v>156</v>
      </c>
      <c r="E209" s="196"/>
      <c r="F209" s="548"/>
      <c r="G209" s="196"/>
      <c r="H209" s="542"/>
      <c r="I209" s="196"/>
      <c r="J209" s="542"/>
      <c r="K209" s="196"/>
      <c r="L209" s="542"/>
      <c r="M209" s="196"/>
      <c r="N209" s="542"/>
      <c r="O209" s="196"/>
      <c r="P209" s="542"/>
    </row>
    <row r="210" spans="2:16" ht="38.25" customHeight="1" x14ac:dyDescent="0.2">
      <c r="B210" s="631"/>
      <c r="C210" s="97" t="s">
        <v>451</v>
      </c>
      <c r="D210" s="353" t="s">
        <v>157</v>
      </c>
      <c r="E210" s="197"/>
      <c r="F210" s="549"/>
      <c r="G210" s="197"/>
      <c r="H210" s="543"/>
      <c r="I210" s="197"/>
      <c r="J210" s="543"/>
      <c r="K210" s="197"/>
      <c r="L210" s="543"/>
      <c r="M210" s="197"/>
      <c r="N210" s="543"/>
      <c r="O210" s="197"/>
      <c r="P210" s="543"/>
    </row>
    <row r="211" spans="2:16" ht="36" customHeight="1" thickBot="1" x14ac:dyDescent="0.25">
      <c r="B211" s="632"/>
      <c r="C211" s="95" t="s">
        <v>452</v>
      </c>
      <c r="D211" s="311" t="s">
        <v>99</v>
      </c>
      <c r="E211" s="198"/>
      <c r="F211" s="550"/>
      <c r="G211" s="198"/>
      <c r="H211" s="544"/>
      <c r="I211" s="198"/>
      <c r="J211" s="544"/>
      <c r="K211" s="198"/>
      <c r="L211" s="544"/>
      <c r="M211" s="198"/>
      <c r="N211" s="544"/>
      <c r="O211" s="198"/>
      <c r="P211" s="544"/>
    </row>
    <row r="212" spans="2:16" ht="32.25" customHeight="1" x14ac:dyDescent="0.2">
      <c r="B212" s="630" t="s">
        <v>454</v>
      </c>
      <c r="C212" s="166" t="s">
        <v>455</v>
      </c>
      <c r="D212" s="312" t="s">
        <v>151</v>
      </c>
      <c r="E212" s="194"/>
      <c r="F212" s="546"/>
      <c r="G212" s="194"/>
      <c r="H212" s="540"/>
      <c r="I212" s="545"/>
      <c r="J212" s="546"/>
      <c r="K212" s="545"/>
      <c r="L212" s="546"/>
      <c r="M212" s="194"/>
      <c r="N212" s="540"/>
      <c r="O212" s="194"/>
      <c r="P212" s="540"/>
    </row>
    <row r="213" spans="2:16" ht="33.75" customHeight="1" x14ac:dyDescent="0.2">
      <c r="B213" s="631"/>
      <c r="C213" s="166" t="s">
        <v>456</v>
      </c>
      <c r="D213" s="312" t="s">
        <v>152</v>
      </c>
      <c r="E213" s="195"/>
      <c r="F213" s="547"/>
      <c r="G213" s="195"/>
      <c r="H213" s="541"/>
      <c r="I213" s="195"/>
      <c r="J213" s="541"/>
      <c r="K213" s="195"/>
      <c r="L213" s="541"/>
      <c r="M213" s="195"/>
      <c r="N213" s="541"/>
      <c r="O213" s="195"/>
      <c r="P213" s="541"/>
    </row>
    <row r="214" spans="2:16" ht="37.5" customHeight="1" x14ac:dyDescent="0.2">
      <c r="B214" s="631"/>
      <c r="C214" s="166" t="s">
        <v>457</v>
      </c>
      <c r="D214" s="312" t="s">
        <v>153</v>
      </c>
      <c r="E214" s="196"/>
      <c r="F214" s="548"/>
      <c r="G214" s="196"/>
      <c r="H214" s="542"/>
      <c r="I214" s="196"/>
      <c r="J214" s="542"/>
      <c r="K214" s="196"/>
      <c r="L214" s="542"/>
      <c r="M214" s="196"/>
      <c r="N214" s="542"/>
      <c r="O214" s="196"/>
      <c r="P214" s="542"/>
    </row>
    <row r="215" spans="2:16" ht="36" customHeight="1" x14ac:dyDescent="0.2">
      <c r="B215" s="631"/>
      <c r="C215" s="166" t="s">
        <v>458</v>
      </c>
      <c r="D215" s="312" t="s">
        <v>154</v>
      </c>
      <c r="E215" s="196"/>
      <c r="F215" s="548"/>
      <c r="G215" s="196"/>
      <c r="H215" s="542"/>
      <c r="I215" s="196"/>
      <c r="J215" s="542"/>
      <c r="K215" s="196"/>
      <c r="L215" s="542"/>
      <c r="M215" s="196"/>
      <c r="N215" s="542"/>
      <c r="O215" s="196"/>
      <c r="P215" s="542"/>
    </row>
    <row r="216" spans="2:16" ht="36" customHeight="1" x14ac:dyDescent="0.2">
      <c r="B216" s="631"/>
      <c r="C216" s="166" t="s">
        <v>459</v>
      </c>
      <c r="D216" s="312" t="s">
        <v>155</v>
      </c>
      <c r="E216" s="196"/>
      <c r="F216" s="548"/>
      <c r="G216" s="196"/>
      <c r="H216" s="542"/>
      <c r="I216" s="196"/>
      <c r="J216" s="542"/>
      <c r="K216" s="196"/>
      <c r="L216" s="542"/>
      <c r="M216" s="196"/>
      <c r="N216" s="542"/>
      <c r="O216" s="196"/>
      <c r="P216" s="542"/>
    </row>
    <row r="217" spans="2:16" ht="34.5" customHeight="1" x14ac:dyDescent="0.2">
      <c r="B217" s="631"/>
      <c r="C217" s="166" t="s">
        <v>460</v>
      </c>
      <c r="D217" s="312" t="s">
        <v>156</v>
      </c>
      <c r="E217" s="196"/>
      <c r="F217" s="548"/>
      <c r="G217" s="196"/>
      <c r="H217" s="542"/>
      <c r="I217" s="196"/>
      <c r="J217" s="542"/>
      <c r="K217" s="196"/>
      <c r="L217" s="542"/>
      <c r="M217" s="196"/>
      <c r="N217" s="542"/>
      <c r="O217" s="196"/>
      <c r="P217" s="542"/>
    </row>
    <row r="218" spans="2:16" ht="29.25" customHeight="1" x14ac:dyDescent="0.2">
      <c r="B218" s="631"/>
      <c r="C218" s="166" t="s">
        <v>461</v>
      </c>
      <c r="D218" s="313" t="s">
        <v>157</v>
      </c>
      <c r="E218" s="197"/>
      <c r="F218" s="549"/>
      <c r="G218" s="197"/>
      <c r="H218" s="543"/>
      <c r="I218" s="197"/>
      <c r="J218" s="543"/>
      <c r="K218" s="197"/>
      <c r="L218" s="543"/>
      <c r="M218" s="197"/>
      <c r="N218" s="543"/>
      <c r="O218" s="197"/>
      <c r="P218" s="543"/>
    </row>
    <row r="219" spans="2:16" ht="42.75" customHeight="1" thickBot="1" x14ac:dyDescent="0.25">
      <c r="B219" s="632"/>
      <c r="C219" s="167" t="s">
        <v>462</v>
      </c>
      <c r="D219" s="314" t="s">
        <v>99</v>
      </c>
      <c r="E219" s="198"/>
      <c r="F219" s="550"/>
      <c r="G219" s="198"/>
      <c r="H219" s="544"/>
      <c r="I219" s="198"/>
      <c r="J219" s="544"/>
      <c r="K219" s="198"/>
      <c r="L219" s="544"/>
      <c r="M219" s="198"/>
      <c r="N219" s="544"/>
      <c r="O219" s="198"/>
      <c r="P219" s="544"/>
    </row>
    <row r="220" spans="2:16" ht="35.25" customHeight="1" x14ac:dyDescent="0.2">
      <c r="B220" s="630" t="s">
        <v>463</v>
      </c>
      <c r="C220" s="94" t="s">
        <v>464</v>
      </c>
      <c r="D220" s="309" t="s">
        <v>151</v>
      </c>
      <c r="E220" s="194"/>
      <c r="F220" s="546"/>
      <c r="G220" s="194"/>
      <c r="H220" s="540"/>
      <c r="I220" s="554">
        <v>49587000</v>
      </c>
      <c r="J220" s="546">
        <v>7</v>
      </c>
      <c r="K220" s="545">
        <v>75870000</v>
      </c>
      <c r="L220" s="546">
        <v>2</v>
      </c>
      <c r="M220" s="194"/>
      <c r="N220" s="540"/>
      <c r="O220" s="194"/>
      <c r="P220" s="540"/>
    </row>
    <row r="221" spans="2:16" ht="38.25" customHeight="1" x14ac:dyDescent="0.2">
      <c r="B221" s="631"/>
      <c r="C221" s="97" t="s">
        <v>465</v>
      </c>
      <c r="D221" s="315" t="s">
        <v>152</v>
      </c>
      <c r="E221" s="195"/>
      <c r="F221" s="547"/>
      <c r="G221" s="195"/>
      <c r="H221" s="541"/>
      <c r="I221" s="195"/>
      <c r="J221" s="541"/>
      <c r="K221" s="195"/>
      <c r="L221" s="541"/>
      <c r="M221" s="195"/>
      <c r="N221" s="541"/>
      <c r="O221" s="195"/>
      <c r="P221" s="541"/>
    </row>
    <row r="222" spans="2:16" ht="42" customHeight="1" x14ac:dyDescent="0.2">
      <c r="B222" s="631"/>
      <c r="C222" s="97" t="s">
        <v>466</v>
      </c>
      <c r="D222" s="315" t="s">
        <v>153</v>
      </c>
      <c r="E222" s="196"/>
      <c r="F222" s="548"/>
      <c r="G222" s="196"/>
      <c r="H222" s="542"/>
      <c r="I222" s="196">
        <v>163000000</v>
      </c>
      <c r="J222" s="548">
        <v>21</v>
      </c>
      <c r="K222" s="196">
        <v>463000000</v>
      </c>
      <c r="L222" s="548">
        <v>12</v>
      </c>
      <c r="M222" s="196"/>
      <c r="N222" s="542"/>
      <c r="O222" s="196"/>
      <c r="P222" s="542"/>
    </row>
    <row r="223" spans="2:16" ht="38.25" customHeight="1" x14ac:dyDescent="0.2">
      <c r="B223" s="631"/>
      <c r="C223" s="97" t="s">
        <v>467</v>
      </c>
      <c r="D223" s="315" t="s">
        <v>154</v>
      </c>
      <c r="E223" s="196"/>
      <c r="F223" s="548"/>
      <c r="G223" s="196"/>
      <c r="H223" s="542"/>
      <c r="I223" s="196">
        <v>215000000</v>
      </c>
      <c r="J223" s="548">
        <v>26</v>
      </c>
      <c r="K223" s="196"/>
      <c r="L223" s="542"/>
      <c r="M223" s="196"/>
      <c r="N223" s="542"/>
      <c r="O223" s="196"/>
      <c r="P223" s="542"/>
    </row>
    <row r="224" spans="2:16" ht="36" customHeight="1" x14ac:dyDescent="0.2">
      <c r="B224" s="631"/>
      <c r="C224" s="97" t="s">
        <v>468</v>
      </c>
      <c r="D224" s="315" t="s">
        <v>155</v>
      </c>
      <c r="E224" s="196"/>
      <c r="F224" s="548"/>
      <c r="G224" s="196"/>
      <c r="H224" s="542"/>
      <c r="I224" s="196"/>
      <c r="J224" s="542"/>
      <c r="K224" s="196">
        <v>430000000</v>
      </c>
      <c r="L224" s="548">
        <v>5</v>
      </c>
      <c r="M224" s="196">
        <v>320000000</v>
      </c>
      <c r="N224" s="548">
        <v>1</v>
      </c>
      <c r="O224" s="196"/>
      <c r="P224" s="542"/>
    </row>
    <row r="225" spans="2:16" ht="30.75" customHeight="1" x14ac:dyDescent="0.2">
      <c r="B225" s="631"/>
      <c r="C225" s="97" t="s">
        <v>469</v>
      </c>
      <c r="D225" s="315" t="s">
        <v>156</v>
      </c>
      <c r="E225" s="196"/>
      <c r="F225" s="548"/>
      <c r="G225" s="196"/>
      <c r="H225" s="542"/>
      <c r="I225" s="196"/>
      <c r="J225" s="542"/>
      <c r="K225" s="196">
        <v>110000000</v>
      </c>
      <c r="L225" s="548">
        <v>2</v>
      </c>
      <c r="M225" s="196"/>
      <c r="N225" s="542"/>
      <c r="O225" s="196"/>
      <c r="P225" s="542"/>
    </row>
    <row r="226" spans="2:16" ht="42" customHeight="1" x14ac:dyDescent="0.2">
      <c r="B226" s="631"/>
      <c r="C226" s="97" t="s">
        <v>470</v>
      </c>
      <c r="D226" s="310" t="s">
        <v>157</v>
      </c>
      <c r="E226" s="197"/>
      <c r="F226" s="549"/>
      <c r="G226" s="197"/>
      <c r="H226" s="543"/>
      <c r="I226" s="197"/>
      <c r="J226" s="543"/>
      <c r="K226" s="197"/>
      <c r="L226" s="549"/>
      <c r="M226" s="197"/>
      <c r="N226" s="543"/>
      <c r="O226" s="197"/>
      <c r="P226" s="543"/>
    </row>
    <row r="227" spans="2:16" ht="39" customHeight="1" x14ac:dyDescent="0.2">
      <c r="B227" s="631"/>
      <c r="C227" s="97" t="s">
        <v>471</v>
      </c>
      <c r="D227" s="316" t="s">
        <v>99</v>
      </c>
      <c r="E227" s="197"/>
      <c r="F227" s="549"/>
      <c r="G227" s="197"/>
      <c r="H227" s="543"/>
      <c r="I227" s="196">
        <v>106587000</v>
      </c>
      <c r="J227" s="548">
        <v>15</v>
      </c>
      <c r="K227" s="196">
        <v>345860000</v>
      </c>
      <c r="L227" s="548">
        <v>6</v>
      </c>
      <c r="M227" s="197"/>
      <c r="N227" s="543"/>
      <c r="O227" s="197"/>
      <c r="P227" s="543"/>
    </row>
    <row r="228" spans="2:16" ht="39" customHeight="1" thickBot="1" x14ac:dyDescent="0.25">
      <c r="B228" s="632"/>
      <c r="C228" s="95" t="s">
        <v>472</v>
      </c>
      <c r="D228" s="311" t="s">
        <v>158</v>
      </c>
      <c r="E228" s="198"/>
      <c r="F228" s="550"/>
      <c r="G228" s="198"/>
      <c r="H228" s="544"/>
      <c r="I228" s="198"/>
      <c r="J228" s="544"/>
      <c r="K228" s="198"/>
      <c r="L228" s="550"/>
      <c r="M228" s="198"/>
      <c r="N228" s="544"/>
      <c r="O228" s="198"/>
      <c r="P228" s="544"/>
    </row>
    <row r="229" spans="2:16" ht="39" customHeight="1" x14ac:dyDescent="0.2">
      <c r="B229" s="305"/>
      <c r="C229" s="327"/>
      <c r="D229" s="323"/>
      <c r="E229" s="539"/>
      <c r="F229" s="539"/>
      <c r="G229" s="539"/>
      <c r="H229" s="539"/>
      <c r="I229" s="539"/>
      <c r="J229" s="539"/>
      <c r="K229" s="539"/>
      <c r="L229" s="539"/>
      <c r="M229" s="539"/>
      <c r="N229" s="539"/>
      <c r="O229" s="539"/>
      <c r="P229" s="539"/>
    </row>
    <row r="230" spans="2:16" ht="39" customHeight="1" thickBot="1" x14ac:dyDescent="0.25">
      <c r="K230" s="190"/>
    </row>
    <row r="231" spans="2:16" ht="39" customHeight="1" thickBot="1" x14ac:dyDescent="0.25">
      <c r="B231" s="630" t="s">
        <v>473</v>
      </c>
      <c r="C231" s="127" t="s">
        <v>166</v>
      </c>
      <c r="D231" s="82"/>
      <c r="E231" s="82"/>
      <c r="F231" s="83"/>
    </row>
    <row r="232" spans="2:16" ht="39" customHeight="1" thickBot="1" x14ac:dyDescent="0.25">
      <c r="B232" s="631"/>
      <c r="C232" s="168" t="s">
        <v>679</v>
      </c>
      <c r="D232" s="82"/>
      <c r="E232" s="82"/>
      <c r="F232" s="83"/>
    </row>
    <row r="233" spans="2:16" ht="39" customHeight="1" thickBot="1" x14ac:dyDescent="0.25">
      <c r="B233" s="631"/>
      <c r="C233" s="168" t="s">
        <v>684</v>
      </c>
      <c r="D233" s="82"/>
      <c r="E233" s="82"/>
      <c r="F233" s="83"/>
    </row>
    <row r="234" spans="2:16" ht="39" customHeight="1" thickBot="1" x14ac:dyDescent="0.25">
      <c r="B234" s="631"/>
      <c r="C234" s="127" t="s">
        <v>685</v>
      </c>
      <c r="D234" s="82"/>
      <c r="E234" s="82"/>
      <c r="F234" s="83"/>
    </row>
    <row r="235" spans="2:16" ht="36" customHeight="1" thickBot="1" x14ac:dyDescent="0.25">
      <c r="B235" s="632"/>
      <c r="C235" s="639" t="s">
        <v>135</v>
      </c>
      <c r="D235" s="640"/>
      <c r="E235" s="84" t="s">
        <v>149</v>
      </c>
      <c r="F235" s="85" t="s">
        <v>150</v>
      </c>
    </row>
    <row r="236" spans="2:16" ht="36" customHeight="1" x14ac:dyDescent="0.2">
      <c r="B236" s="96" t="s">
        <v>474</v>
      </c>
      <c r="C236" s="641" t="s">
        <v>151</v>
      </c>
      <c r="D236" s="642"/>
      <c r="E236" s="328">
        <v>3634794273.7275004</v>
      </c>
      <c r="F236" s="534">
        <v>63657</v>
      </c>
    </row>
    <row r="237" spans="2:16" ht="35.25" customHeight="1" x14ac:dyDescent="0.2">
      <c r="B237" s="97" t="s">
        <v>475</v>
      </c>
      <c r="C237" s="651" t="s">
        <v>152</v>
      </c>
      <c r="D237" s="652"/>
      <c r="E237" s="329">
        <v>380176833.87</v>
      </c>
      <c r="F237" s="535">
        <v>8877</v>
      </c>
    </row>
    <row r="238" spans="2:16" ht="32.25" customHeight="1" x14ac:dyDescent="0.2">
      <c r="B238" s="97" t="s">
        <v>476</v>
      </c>
      <c r="C238" s="651" t="s">
        <v>153</v>
      </c>
      <c r="D238" s="652"/>
      <c r="E238" s="329">
        <v>200165217.15000001</v>
      </c>
      <c r="F238" s="536">
        <v>1098</v>
      </c>
    </row>
    <row r="239" spans="2:16" ht="32.25" customHeight="1" x14ac:dyDescent="0.2">
      <c r="B239" s="97" t="s">
        <v>477</v>
      </c>
      <c r="C239" s="651" t="s">
        <v>154</v>
      </c>
      <c r="D239" s="652"/>
      <c r="E239" s="329">
        <v>6063413.2000000002</v>
      </c>
      <c r="F239" s="536">
        <v>37</v>
      </c>
    </row>
    <row r="240" spans="2:16" ht="36.75" customHeight="1" x14ac:dyDescent="0.2">
      <c r="B240" s="97" t="s">
        <v>478</v>
      </c>
      <c r="C240" s="651" t="s">
        <v>155</v>
      </c>
      <c r="D240" s="652"/>
      <c r="E240" s="329">
        <v>6992416</v>
      </c>
      <c r="F240" s="537">
        <v>29.25</v>
      </c>
    </row>
    <row r="241" spans="2:18" ht="36.75" customHeight="1" x14ac:dyDescent="0.2">
      <c r="B241" s="97" t="s">
        <v>479</v>
      </c>
      <c r="C241" s="651" t="s">
        <v>156</v>
      </c>
      <c r="D241" s="652"/>
      <c r="E241" s="329">
        <v>0</v>
      </c>
      <c r="F241" s="537">
        <v>0</v>
      </c>
    </row>
    <row r="242" spans="2:18" ht="36.75" customHeight="1" x14ac:dyDescent="0.2">
      <c r="B242" s="97" t="s">
        <v>480</v>
      </c>
      <c r="C242" s="651" t="s">
        <v>157</v>
      </c>
      <c r="D242" s="652"/>
      <c r="E242" s="329">
        <v>1492416</v>
      </c>
      <c r="F242" s="537">
        <v>6</v>
      </c>
    </row>
    <row r="243" spans="2:18" ht="36.75" customHeight="1" thickBot="1" x14ac:dyDescent="0.25">
      <c r="B243" s="95" t="s">
        <v>481</v>
      </c>
      <c r="C243" s="653" t="s">
        <v>99</v>
      </c>
      <c r="D243" s="654"/>
      <c r="E243" s="330">
        <v>0</v>
      </c>
      <c r="F243" s="538">
        <v>0</v>
      </c>
    </row>
    <row r="244" spans="2:18" ht="44.25" customHeight="1" thickBot="1" x14ac:dyDescent="0.25"/>
    <row r="245" spans="2:18" ht="34.5" customHeight="1" thickBot="1" x14ac:dyDescent="0.25">
      <c r="B245" s="658" t="s">
        <v>482</v>
      </c>
      <c r="C245" s="659"/>
      <c r="D245" s="126" t="s">
        <v>192</v>
      </c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8"/>
    </row>
    <row r="246" spans="2:18" ht="34.5" customHeight="1" thickBot="1" x14ac:dyDescent="0.25">
      <c r="B246" s="660"/>
      <c r="C246" s="661"/>
      <c r="D246" s="127" t="s">
        <v>679</v>
      </c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8"/>
    </row>
    <row r="247" spans="2:18" ht="34.5" customHeight="1" thickBot="1" x14ac:dyDescent="0.25">
      <c r="B247" s="660"/>
      <c r="C247" s="661"/>
      <c r="D247" s="126" t="s">
        <v>684</v>
      </c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8"/>
    </row>
    <row r="248" spans="2:18" ht="33" customHeight="1" thickBot="1" x14ac:dyDescent="0.25">
      <c r="B248" s="660"/>
      <c r="C248" s="661"/>
      <c r="D248" s="633" t="s">
        <v>193</v>
      </c>
      <c r="E248" s="611" t="s">
        <v>181</v>
      </c>
      <c r="F248" s="664"/>
      <c r="G248" s="611" t="s">
        <v>692</v>
      </c>
      <c r="H248" s="612"/>
      <c r="I248" s="664" t="s">
        <v>170</v>
      </c>
      <c r="J248" s="664"/>
      <c r="K248" s="611" t="s">
        <v>171</v>
      </c>
      <c r="L248" s="612"/>
      <c r="M248" s="664" t="s">
        <v>172</v>
      </c>
      <c r="N248" s="664"/>
      <c r="O248" s="611" t="s">
        <v>173</v>
      </c>
      <c r="P248" s="612"/>
      <c r="Q248" s="664" t="s">
        <v>174</v>
      </c>
      <c r="R248" s="612"/>
    </row>
    <row r="249" spans="2:18" ht="33" customHeight="1" thickBot="1" x14ac:dyDescent="0.25">
      <c r="B249" s="662"/>
      <c r="C249" s="663"/>
      <c r="D249" s="634"/>
      <c r="E249" s="113" t="s">
        <v>175</v>
      </c>
      <c r="F249" s="520" t="s">
        <v>176</v>
      </c>
      <c r="G249" s="113" t="s">
        <v>175</v>
      </c>
      <c r="H249" s="62" t="s">
        <v>176</v>
      </c>
      <c r="I249" s="114" t="s">
        <v>175</v>
      </c>
      <c r="J249" s="520" t="s">
        <v>176</v>
      </c>
      <c r="K249" s="113" t="s">
        <v>175</v>
      </c>
      <c r="L249" s="62" t="s">
        <v>176</v>
      </c>
      <c r="M249" s="114" t="s">
        <v>175</v>
      </c>
      <c r="N249" s="520" t="s">
        <v>176</v>
      </c>
      <c r="O249" s="113" t="s">
        <v>175</v>
      </c>
      <c r="P249" s="62" t="s">
        <v>176</v>
      </c>
      <c r="Q249" s="114" t="s">
        <v>175</v>
      </c>
      <c r="R249" s="62" t="s">
        <v>176</v>
      </c>
    </row>
    <row r="250" spans="2:18" ht="57.75" customHeight="1" x14ac:dyDescent="0.2">
      <c r="B250" s="630" t="s">
        <v>483</v>
      </c>
      <c r="C250" s="169" t="s">
        <v>485</v>
      </c>
      <c r="D250" s="315" t="s">
        <v>179</v>
      </c>
      <c r="E250" s="521"/>
      <c r="F250" s="522"/>
      <c r="G250" s="521"/>
      <c r="H250" s="523"/>
      <c r="I250" s="524"/>
      <c r="J250" s="522"/>
      <c r="K250" s="521"/>
      <c r="L250" s="523"/>
      <c r="M250" s="524"/>
      <c r="N250" s="522"/>
      <c r="O250" s="521"/>
      <c r="P250" s="523"/>
      <c r="Q250" s="524"/>
      <c r="R250" s="523"/>
    </row>
    <row r="251" spans="2:18" ht="57.75" customHeight="1" thickBot="1" x14ac:dyDescent="0.25">
      <c r="B251" s="632"/>
      <c r="C251" s="170" t="s">
        <v>486</v>
      </c>
      <c r="D251" s="319" t="s">
        <v>178</v>
      </c>
      <c r="E251" s="525"/>
      <c r="F251" s="526"/>
      <c r="G251" s="525">
        <v>120000000</v>
      </c>
      <c r="H251" s="527">
        <v>120000000</v>
      </c>
      <c r="I251" s="528"/>
      <c r="J251" s="526"/>
      <c r="K251" s="525"/>
      <c r="L251" s="527"/>
      <c r="M251" s="528"/>
      <c r="N251" s="526"/>
      <c r="O251" s="525"/>
      <c r="P251" s="527"/>
      <c r="Q251" s="528"/>
      <c r="R251" s="527"/>
    </row>
    <row r="252" spans="2:18" ht="57.75" customHeight="1" x14ac:dyDescent="0.2">
      <c r="B252" s="630" t="s">
        <v>484</v>
      </c>
      <c r="C252" s="171" t="s">
        <v>487</v>
      </c>
      <c r="D252" s="315" t="s">
        <v>179</v>
      </c>
      <c r="E252" s="529"/>
      <c r="F252" s="530"/>
      <c r="G252" s="529"/>
      <c r="H252" s="531"/>
      <c r="I252" s="532"/>
      <c r="J252" s="530"/>
      <c r="K252" s="529"/>
      <c r="L252" s="531"/>
      <c r="M252" s="532"/>
      <c r="N252" s="530"/>
      <c r="O252" s="529"/>
      <c r="P252" s="531"/>
      <c r="Q252" s="532"/>
      <c r="R252" s="531"/>
    </row>
    <row r="253" spans="2:18" ht="57.75" customHeight="1" thickBot="1" x14ac:dyDescent="0.25">
      <c r="B253" s="632"/>
      <c r="C253" s="170" t="s">
        <v>488</v>
      </c>
      <c r="D253" s="319" t="s">
        <v>178</v>
      </c>
      <c r="E253" s="525"/>
      <c r="F253" s="526"/>
      <c r="G253" s="525"/>
      <c r="H253" s="527"/>
      <c r="I253" s="528"/>
      <c r="J253" s="526"/>
      <c r="K253" s="525"/>
      <c r="L253" s="527"/>
      <c r="M253" s="528"/>
      <c r="N253" s="526"/>
      <c r="O253" s="525"/>
      <c r="P253" s="527"/>
      <c r="Q253" s="528"/>
      <c r="R253" s="527"/>
    </row>
    <row r="254" spans="2:18" ht="27" customHeight="1" thickBot="1" x14ac:dyDescent="0.25">
      <c r="B254" s="305"/>
      <c r="C254" s="519"/>
      <c r="D254" s="323"/>
      <c r="E254" s="533"/>
      <c r="F254" s="533"/>
      <c r="G254" s="533"/>
      <c r="H254" s="533"/>
      <c r="I254" s="533"/>
      <c r="J254" s="533"/>
      <c r="K254" s="533"/>
      <c r="L254" s="533"/>
      <c r="M254" s="533"/>
      <c r="N254" s="533"/>
      <c r="O254" s="533"/>
      <c r="P254" s="533"/>
      <c r="Q254" s="533"/>
      <c r="R254" s="533"/>
    </row>
    <row r="255" spans="2:18" ht="34.5" customHeight="1" thickBot="1" x14ac:dyDescent="0.25">
      <c r="B255" s="658" t="s">
        <v>482</v>
      </c>
      <c r="C255" s="659"/>
      <c r="D255" s="126" t="s">
        <v>192</v>
      </c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8"/>
    </row>
    <row r="256" spans="2:18" ht="34.5" customHeight="1" thickBot="1" x14ac:dyDescent="0.25">
      <c r="B256" s="660"/>
      <c r="C256" s="661"/>
      <c r="D256" s="127" t="s">
        <v>679</v>
      </c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8"/>
    </row>
    <row r="257" spans="2:18" ht="34.5" customHeight="1" thickBot="1" x14ac:dyDescent="0.25">
      <c r="B257" s="660"/>
      <c r="C257" s="661"/>
      <c r="D257" s="126" t="s">
        <v>673</v>
      </c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8"/>
    </row>
    <row r="258" spans="2:18" ht="33" customHeight="1" thickBot="1" x14ac:dyDescent="0.25">
      <c r="B258" s="660"/>
      <c r="C258" s="661"/>
      <c r="D258" s="633" t="s">
        <v>193</v>
      </c>
      <c r="E258" s="611" t="s">
        <v>181</v>
      </c>
      <c r="F258" s="664"/>
      <c r="G258" s="611" t="s">
        <v>169</v>
      </c>
      <c r="H258" s="612"/>
      <c r="I258" s="664" t="s">
        <v>696</v>
      </c>
      <c r="J258" s="664"/>
      <c r="K258" s="611" t="s">
        <v>697</v>
      </c>
      <c r="L258" s="612"/>
      <c r="M258" s="664" t="s">
        <v>172</v>
      </c>
      <c r="N258" s="664"/>
      <c r="O258" s="611" t="s">
        <v>173</v>
      </c>
      <c r="P258" s="612"/>
      <c r="Q258" s="664" t="s">
        <v>174</v>
      </c>
      <c r="R258" s="612"/>
    </row>
    <row r="259" spans="2:18" ht="33" customHeight="1" thickBot="1" x14ac:dyDescent="0.25">
      <c r="B259" s="662"/>
      <c r="C259" s="663"/>
      <c r="D259" s="634"/>
      <c r="E259" s="113" t="s">
        <v>175</v>
      </c>
      <c r="F259" s="520" t="s">
        <v>176</v>
      </c>
      <c r="G259" s="113" t="s">
        <v>175</v>
      </c>
      <c r="H259" s="62" t="s">
        <v>176</v>
      </c>
      <c r="I259" s="114" t="s">
        <v>175</v>
      </c>
      <c r="J259" s="520" t="s">
        <v>176</v>
      </c>
      <c r="K259" s="113" t="s">
        <v>175</v>
      </c>
      <c r="L259" s="62" t="s">
        <v>176</v>
      </c>
      <c r="M259" s="114" t="s">
        <v>175</v>
      </c>
      <c r="N259" s="520" t="s">
        <v>176</v>
      </c>
      <c r="O259" s="113" t="s">
        <v>175</v>
      </c>
      <c r="P259" s="62" t="s">
        <v>176</v>
      </c>
      <c r="Q259" s="114" t="s">
        <v>175</v>
      </c>
      <c r="R259" s="62" t="s">
        <v>176</v>
      </c>
    </row>
    <row r="260" spans="2:18" ht="57.75" customHeight="1" x14ac:dyDescent="0.2">
      <c r="B260" s="630" t="s">
        <v>483</v>
      </c>
      <c r="C260" s="169" t="s">
        <v>485</v>
      </c>
      <c r="D260" s="315" t="s">
        <v>179</v>
      </c>
      <c r="E260" s="521"/>
      <c r="F260" s="522"/>
      <c r="G260" s="521"/>
      <c r="H260" s="523"/>
      <c r="I260" s="524"/>
      <c r="J260" s="522"/>
      <c r="K260" s="521"/>
      <c r="L260" s="523"/>
      <c r="M260" s="524"/>
      <c r="N260" s="522"/>
      <c r="O260" s="521"/>
      <c r="P260" s="523"/>
      <c r="Q260" s="524"/>
      <c r="R260" s="523"/>
    </row>
    <row r="261" spans="2:18" ht="57.75" customHeight="1" thickBot="1" x14ac:dyDescent="0.25">
      <c r="B261" s="632"/>
      <c r="C261" s="170" t="s">
        <v>486</v>
      </c>
      <c r="D261" s="319" t="s">
        <v>178</v>
      </c>
      <c r="E261" s="525"/>
      <c r="F261" s="526"/>
      <c r="G261" s="525"/>
      <c r="H261" s="527"/>
      <c r="I261" s="528"/>
      <c r="J261" s="526"/>
      <c r="K261" s="525"/>
      <c r="L261" s="527"/>
      <c r="M261" s="528"/>
      <c r="N261" s="526"/>
      <c r="O261" s="525"/>
      <c r="P261" s="527"/>
      <c r="Q261" s="528"/>
      <c r="R261" s="527"/>
    </row>
    <row r="262" spans="2:18" ht="57.75" customHeight="1" x14ac:dyDescent="0.2">
      <c r="B262" s="630" t="s">
        <v>484</v>
      </c>
      <c r="C262" s="171" t="s">
        <v>487</v>
      </c>
      <c r="D262" s="315" t="s">
        <v>179</v>
      </c>
      <c r="E262" s="529"/>
      <c r="F262" s="530"/>
      <c r="G262" s="529"/>
      <c r="H262" s="531"/>
      <c r="I262" s="532"/>
      <c r="J262" s="530"/>
      <c r="K262" s="529"/>
      <c r="L262" s="531"/>
      <c r="M262" s="532"/>
      <c r="N262" s="530"/>
      <c r="O262" s="529"/>
      <c r="P262" s="531"/>
      <c r="Q262" s="532"/>
      <c r="R262" s="531"/>
    </row>
    <row r="263" spans="2:18" ht="57.75" customHeight="1" thickBot="1" x14ac:dyDescent="0.25">
      <c r="B263" s="632"/>
      <c r="C263" s="170" t="s">
        <v>488</v>
      </c>
      <c r="D263" s="319" t="s">
        <v>178</v>
      </c>
      <c r="E263" s="525"/>
      <c r="F263" s="526"/>
      <c r="G263" s="525"/>
      <c r="H263" s="527"/>
      <c r="I263" s="528">
        <v>100000000</v>
      </c>
      <c r="J263" s="526">
        <v>98750000</v>
      </c>
      <c r="K263" s="525">
        <v>80000000</v>
      </c>
      <c r="L263" s="527">
        <v>24500000</v>
      </c>
      <c r="M263" s="528"/>
      <c r="N263" s="526"/>
      <c r="O263" s="525"/>
      <c r="P263" s="527"/>
      <c r="Q263" s="528"/>
      <c r="R263" s="527"/>
    </row>
    <row r="264" spans="2:18" ht="27" customHeight="1" x14ac:dyDescent="0.2">
      <c r="B264" s="305"/>
      <c r="C264" s="519"/>
      <c r="D264" s="323"/>
      <c r="E264" s="533"/>
      <c r="F264" s="533"/>
      <c r="G264" s="533"/>
      <c r="H264" s="533"/>
      <c r="I264" s="533"/>
      <c r="J264" s="533"/>
      <c r="K264" s="533"/>
      <c r="L264" s="533"/>
      <c r="M264" s="533"/>
      <c r="N264" s="533"/>
      <c r="O264" s="533"/>
      <c r="P264" s="533"/>
      <c r="Q264" s="533"/>
      <c r="R264" s="533"/>
    </row>
    <row r="265" spans="2:18" ht="27" customHeight="1" x14ac:dyDescent="0.2">
      <c r="B265" s="305"/>
      <c r="C265" s="519"/>
      <c r="D265" s="323"/>
      <c r="E265" s="533"/>
      <c r="F265" s="533"/>
      <c r="G265" s="533"/>
      <c r="H265" s="533"/>
      <c r="I265" s="533"/>
      <c r="J265" s="533"/>
      <c r="K265" s="533"/>
      <c r="L265" s="533"/>
      <c r="M265" s="533"/>
      <c r="N265" s="533"/>
      <c r="O265" s="533"/>
      <c r="P265" s="533"/>
      <c r="Q265" s="533"/>
      <c r="R265" s="533"/>
    </row>
    <row r="266" spans="2:18" ht="33" customHeight="1" thickBot="1" x14ac:dyDescent="0.25"/>
    <row r="267" spans="2:18" ht="33.75" customHeight="1" thickBot="1" x14ac:dyDescent="0.25">
      <c r="B267" s="80"/>
      <c r="C267" s="709" t="s">
        <v>489</v>
      </c>
      <c r="D267" s="126" t="s">
        <v>180</v>
      </c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8"/>
    </row>
    <row r="268" spans="2:18" ht="33.75" customHeight="1" thickBot="1" x14ac:dyDescent="0.25">
      <c r="B268" s="80"/>
      <c r="C268" s="710"/>
      <c r="D268" s="126" t="s">
        <v>679</v>
      </c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8"/>
    </row>
    <row r="269" spans="2:18" ht="33.75" customHeight="1" thickBot="1" x14ac:dyDescent="0.25">
      <c r="B269" s="80"/>
      <c r="C269" s="710"/>
      <c r="D269" s="126" t="s">
        <v>684</v>
      </c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8"/>
    </row>
    <row r="270" spans="2:18" ht="33.75" customHeight="1" thickBot="1" x14ac:dyDescent="0.25">
      <c r="B270" s="80"/>
      <c r="C270" s="711"/>
      <c r="D270" s="126" t="s">
        <v>135</v>
      </c>
      <c r="E270" s="611" t="s">
        <v>698</v>
      </c>
      <c r="F270" s="612"/>
      <c r="G270" s="611" t="s">
        <v>692</v>
      </c>
      <c r="H270" s="612"/>
      <c r="I270" s="611" t="s">
        <v>696</v>
      </c>
      <c r="J270" s="612"/>
      <c r="K270" s="611" t="s">
        <v>697</v>
      </c>
      <c r="L270" s="612"/>
      <c r="M270" s="611" t="s">
        <v>693</v>
      </c>
      <c r="N270" s="612"/>
      <c r="O270" s="611" t="s">
        <v>694</v>
      </c>
      <c r="P270" s="612"/>
      <c r="Q270" s="611" t="s">
        <v>695</v>
      </c>
      <c r="R270" s="612"/>
    </row>
    <row r="271" spans="2:18" ht="33.75" customHeight="1" x14ac:dyDescent="0.2">
      <c r="B271" s="708"/>
      <c r="C271" s="139" t="s">
        <v>490</v>
      </c>
      <c r="D271" s="309" t="s">
        <v>183</v>
      </c>
      <c r="E271" s="682"/>
      <c r="F271" s="684"/>
      <c r="G271" s="682"/>
      <c r="H271" s="684"/>
      <c r="I271" s="682"/>
      <c r="J271" s="684"/>
      <c r="K271" s="682"/>
      <c r="L271" s="684"/>
      <c r="M271" s="682"/>
      <c r="N271" s="684"/>
      <c r="O271" s="682"/>
      <c r="P271" s="684"/>
      <c r="Q271" s="682"/>
      <c r="R271" s="684"/>
    </row>
    <row r="272" spans="2:18" ht="33.75" customHeight="1" x14ac:dyDescent="0.2">
      <c r="B272" s="708"/>
      <c r="C272" s="172" t="s">
        <v>491</v>
      </c>
      <c r="D272" s="315" t="s">
        <v>184</v>
      </c>
      <c r="E272" s="672"/>
      <c r="F272" s="673"/>
      <c r="G272" s="672"/>
      <c r="H272" s="673"/>
      <c r="I272" s="672"/>
      <c r="J272" s="673"/>
      <c r="K272" s="672"/>
      <c r="L272" s="673"/>
      <c r="M272" s="672"/>
      <c r="N272" s="673"/>
      <c r="O272" s="672"/>
      <c r="P272" s="673"/>
      <c r="Q272" s="672"/>
      <c r="R272" s="673"/>
    </row>
    <row r="273" spans="2:18" ht="33.75" customHeight="1" x14ac:dyDescent="0.2">
      <c r="B273" s="708"/>
      <c r="C273" s="172" t="s">
        <v>492</v>
      </c>
      <c r="D273" s="315" t="s">
        <v>185</v>
      </c>
      <c r="E273" s="672"/>
      <c r="F273" s="674"/>
      <c r="G273" s="672"/>
      <c r="H273" s="674"/>
      <c r="I273" s="672"/>
      <c r="J273" s="674"/>
      <c r="K273" s="675">
        <v>45000000</v>
      </c>
      <c r="L273" s="676"/>
      <c r="M273" s="672"/>
      <c r="N273" s="674"/>
      <c r="O273" s="672"/>
      <c r="P273" s="674"/>
      <c r="Q273" s="672"/>
      <c r="R273" s="673"/>
    </row>
    <row r="274" spans="2:18" ht="33.75" customHeight="1" x14ac:dyDescent="0.2">
      <c r="B274" s="708"/>
      <c r="C274" s="172" t="s">
        <v>493</v>
      </c>
      <c r="D274" s="315" t="s">
        <v>186</v>
      </c>
      <c r="E274" s="675">
        <v>70000000</v>
      </c>
      <c r="F274" s="676"/>
      <c r="G274" s="675">
        <v>62500000</v>
      </c>
      <c r="H274" s="676"/>
      <c r="I274" s="672"/>
      <c r="J274" s="674"/>
      <c r="K274" s="672"/>
      <c r="L274" s="674"/>
      <c r="M274" s="672"/>
      <c r="N274" s="674"/>
      <c r="O274" s="672"/>
      <c r="P274" s="674"/>
      <c r="Q274" s="672"/>
      <c r="R274" s="673"/>
    </row>
    <row r="275" spans="2:18" ht="33.75" customHeight="1" thickBot="1" x14ac:dyDescent="0.25">
      <c r="B275" s="708"/>
      <c r="C275" s="173" t="s">
        <v>494</v>
      </c>
      <c r="D275" s="319" t="s">
        <v>187</v>
      </c>
      <c r="E275" s="677"/>
      <c r="F275" s="678"/>
      <c r="G275" s="677"/>
      <c r="H275" s="678"/>
      <c r="I275" s="693">
        <v>51000000</v>
      </c>
      <c r="J275" s="694"/>
      <c r="K275" s="677"/>
      <c r="L275" s="678"/>
      <c r="M275" s="677"/>
      <c r="N275" s="678"/>
      <c r="O275" s="677"/>
      <c r="P275" s="678"/>
      <c r="Q275" s="677"/>
      <c r="R275" s="679"/>
    </row>
    <row r="276" spans="2:18" ht="33.75" customHeight="1" thickBot="1" x14ac:dyDescent="0.25">
      <c r="B276" s="137"/>
      <c r="C276" s="519"/>
      <c r="D276" s="323"/>
      <c r="E276" s="324"/>
      <c r="F276" s="324"/>
      <c r="G276" s="324"/>
      <c r="H276" s="324"/>
      <c r="I276" s="325"/>
      <c r="J276" s="325"/>
      <c r="K276" s="324"/>
      <c r="L276" s="324"/>
      <c r="M276" s="324"/>
      <c r="N276" s="324"/>
      <c r="O276" s="324"/>
      <c r="P276" s="324"/>
      <c r="Q276" s="324"/>
      <c r="R276" s="324"/>
    </row>
    <row r="277" spans="2:18" ht="33.75" customHeight="1" thickBot="1" x14ac:dyDescent="0.25">
      <c r="B277" s="80"/>
      <c r="C277" s="709" t="s">
        <v>489</v>
      </c>
      <c r="D277" s="126" t="s">
        <v>180</v>
      </c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8"/>
    </row>
    <row r="278" spans="2:18" ht="33.75" customHeight="1" thickBot="1" x14ac:dyDescent="0.25">
      <c r="B278" s="80"/>
      <c r="C278" s="710"/>
      <c r="D278" s="126" t="s">
        <v>679</v>
      </c>
      <c r="E278" s="127"/>
      <c r="F278" s="127"/>
      <c r="G278" s="127"/>
      <c r="H278" s="127"/>
      <c r="I278" s="127"/>
      <c r="J278" s="127"/>
      <c r="K278" s="127"/>
      <c r="L278" s="127"/>
      <c r="M278" s="127"/>
      <c r="N278" s="127"/>
      <c r="O278" s="127"/>
      <c r="P278" s="127"/>
      <c r="Q278" s="127"/>
      <c r="R278" s="128"/>
    </row>
    <row r="279" spans="2:18" ht="33.75" customHeight="1" thickBot="1" x14ac:dyDescent="0.25">
      <c r="B279" s="80"/>
      <c r="C279" s="710"/>
      <c r="D279" s="126" t="s">
        <v>673</v>
      </c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8"/>
    </row>
    <row r="280" spans="2:18" ht="33.75" customHeight="1" thickBot="1" x14ac:dyDescent="0.25">
      <c r="B280" s="80"/>
      <c r="C280" s="711"/>
      <c r="D280" s="126" t="s">
        <v>135</v>
      </c>
      <c r="E280" s="611" t="s">
        <v>181</v>
      </c>
      <c r="F280" s="664"/>
      <c r="G280" s="611" t="s">
        <v>169</v>
      </c>
      <c r="H280" s="612"/>
      <c r="I280" s="664" t="s">
        <v>170</v>
      </c>
      <c r="J280" s="664"/>
      <c r="K280" s="611" t="s">
        <v>171</v>
      </c>
      <c r="L280" s="612"/>
      <c r="M280" s="664" t="s">
        <v>172</v>
      </c>
      <c r="N280" s="664"/>
      <c r="O280" s="611" t="s">
        <v>173</v>
      </c>
      <c r="P280" s="612"/>
      <c r="Q280" s="664" t="s">
        <v>174</v>
      </c>
      <c r="R280" s="612"/>
    </row>
    <row r="281" spans="2:18" ht="33.75" customHeight="1" x14ac:dyDescent="0.2">
      <c r="B281" s="708"/>
      <c r="C281" s="139" t="s">
        <v>490</v>
      </c>
      <c r="D281" s="309" t="s">
        <v>183</v>
      </c>
      <c r="E281" s="682"/>
      <c r="F281" s="683"/>
      <c r="G281" s="682"/>
      <c r="H281" s="683"/>
      <c r="I281" s="682"/>
      <c r="J281" s="683"/>
      <c r="K281" s="682"/>
      <c r="L281" s="683"/>
      <c r="M281" s="682"/>
      <c r="N281" s="683"/>
      <c r="O281" s="682"/>
      <c r="P281" s="683"/>
      <c r="Q281" s="682"/>
      <c r="R281" s="684"/>
    </row>
    <row r="282" spans="2:18" ht="33.75" customHeight="1" x14ac:dyDescent="0.2">
      <c r="B282" s="708"/>
      <c r="C282" s="172" t="s">
        <v>491</v>
      </c>
      <c r="D282" s="315" t="s">
        <v>184</v>
      </c>
      <c r="E282" s="672"/>
      <c r="F282" s="674"/>
      <c r="G282" s="672"/>
      <c r="H282" s="674"/>
      <c r="I282" s="672"/>
      <c r="J282" s="674"/>
      <c r="K282" s="672"/>
      <c r="L282" s="674"/>
      <c r="M282" s="672"/>
      <c r="N282" s="674"/>
      <c r="O282" s="672"/>
      <c r="P282" s="674"/>
      <c r="Q282" s="672"/>
      <c r="R282" s="673"/>
    </row>
    <row r="283" spans="2:18" ht="33.75" customHeight="1" x14ac:dyDescent="0.2">
      <c r="B283" s="708"/>
      <c r="C283" s="172" t="s">
        <v>492</v>
      </c>
      <c r="D283" s="315" t="s">
        <v>185</v>
      </c>
      <c r="E283" s="672"/>
      <c r="F283" s="674"/>
      <c r="G283" s="672"/>
      <c r="H283" s="674"/>
      <c r="I283" s="672"/>
      <c r="J283" s="674"/>
      <c r="K283" s="675"/>
      <c r="L283" s="676"/>
      <c r="M283" s="675">
        <v>75000000</v>
      </c>
      <c r="N283" s="676"/>
      <c r="O283" s="672"/>
      <c r="P283" s="674"/>
      <c r="Q283" s="672"/>
      <c r="R283" s="673"/>
    </row>
    <row r="284" spans="2:18" ht="33.75" customHeight="1" x14ac:dyDescent="0.2">
      <c r="B284" s="708"/>
      <c r="C284" s="172" t="s">
        <v>493</v>
      </c>
      <c r="D284" s="315" t="s">
        <v>186</v>
      </c>
      <c r="E284" s="675">
        <v>30000000</v>
      </c>
      <c r="F284" s="676"/>
      <c r="G284" s="675">
        <v>25000000</v>
      </c>
      <c r="H284" s="676"/>
      <c r="I284" s="672"/>
      <c r="J284" s="674"/>
      <c r="K284" s="672"/>
      <c r="L284" s="674"/>
      <c r="M284" s="672"/>
      <c r="N284" s="674"/>
      <c r="O284" s="672"/>
      <c r="P284" s="674"/>
      <c r="Q284" s="672"/>
      <c r="R284" s="673"/>
    </row>
    <row r="285" spans="2:18" ht="33.75" customHeight="1" thickBot="1" x14ac:dyDescent="0.25">
      <c r="B285" s="708"/>
      <c r="C285" s="173" t="s">
        <v>494</v>
      </c>
      <c r="D285" s="319" t="s">
        <v>187</v>
      </c>
      <c r="E285" s="677"/>
      <c r="F285" s="678"/>
      <c r="G285" s="677"/>
      <c r="H285" s="678"/>
      <c r="I285" s="693"/>
      <c r="J285" s="694"/>
      <c r="K285" s="693">
        <v>65000000</v>
      </c>
      <c r="L285" s="694"/>
      <c r="M285" s="677"/>
      <c r="N285" s="678"/>
      <c r="O285" s="677"/>
      <c r="P285" s="678"/>
      <c r="Q285" s="677"/>
      <c r="R285" s="679"/>
    </row>
    <row r="286" spans="2:18" ht="33.75" customHeight="1" x14ac:dyDescent="0.2">
      <c r="B286" s="137"/>
      <c r="C286" s="519"/>
      <c r="D286" s="323"/>
      <c r="E286" s="324"/>
      <c r="F286" s="324"/>
      <c r="G286" s="324"/>
      <c r="H286" s="324"/>
      <c r="I286" s="325"/>
      <c r="J286" s="325"/>
      <c r="K286" s="324"/>
      <c r="L286" s="324"/>
      <c r="M286" s="324"/>
      <c r="N286" s="324"/>
      <c r="O286" s="324"/>
      <c r="P286" s="324"/>
      <c r="Q286" s="324"/>
      <c r="R286" s="324"/>
    </row>
    <row r="287" spans="2:18" ht="33.75" customHeight="1" thickBot="1" x14ac:dyDescent="0.25"/>
    <row r="288" spans="2:18" ht="33.75" customHeight="1" thickBot="1" x14ac:dyDescent="0.25">
      <c r="C288" s="630" t="s">
        <v>495</v>
      </c>
      <c r="D288" s="712" t="s">
        <v>188</v>
      </c>
      <c r="E288" s="713"/>
      <c r="F288" s="713"/>
      <c r="G288" s="713"/>
      <c r="H288" s="714"/>
      <c r="I288" s="1"/>
    </row>
    <row r="289" spans="3:9" ht="33.75" customHeight="1" thickBot="1" x14ac:dyDescent="0.25">
      <c r="C289" s="632"/>
      <c r="D289" s="136" t="s">
        <v>160</v>
      </c>
      <c r="E289" s="45" t="s">
        <v>683</v>
      </c>
      <c r="F289" s="129" t="s">
        <v>666</v>
      </c>
      <c r="G289" s="129" t="s">
        <v>27</v>
      </c>
      <c r="H289" s="129" t="s">
        <v>130</v>
      </c>
      <c r="I289" s="1"/>
    </row>
    <row r="290" spans="3:9" ht="33.75" customHeight="1" x14ac:dyDescent="0.2">
      <c r="C290" s="139" t="s">
        <v>496</v>
      </c>
      <c r="D290" s="134" t="s">
        <v>194</v>
      </c>
      <c r="E290" s="42"/>
      <c r="F290" s="43"/>
      <c r="G290" s="43"/>
      <c r="H290" s="44"/>
      <c r="I290" s="1"/>
    </row>
    <row r="291" spans="3:9" ht="34.5" customHeight="1" thickBot="1" x14ac:dyDescent="0.25">
      <c r="C291" s="138" t="s">
        <v>497</v>
      </c>
      <c r="D291" s="131" t="s">
        <v>195</v>
      </c>
      <c r="E291" s="115"/>
      <c r="F291" s="518">
        <v>2300000</v>
      </c>
      <c r="G291" s="116"/>
      <c r="H291" s="117"/>
      <c r="I291" s="1"/>
    </row>
    <row r="292" spans="3:9" ht="39.75" customHeight="1" x14ac:dyDescent="0.2"/>
    <row r="293" spans="3:9" ht="33.75" customHeight="1" x14ac:dyDescent="0.2"/>
    <row r="294" spans="3:9" ht="36.75" customHeight="1" x14ac:dyDescent="0.2"/>
    <row r="295" spans="3:9" ht="36.75" customHeight="1" x14ac:dyDescent="0.2"/>
    <row r="296" spans="3:9" ht="36.75" customHeight="1" x14ac:dyDescent="0.2"/>
    <row r="297" spans="3:9" ht="36.75" customHeight="1" x14ac:dyDescent="0.2"/>
    <row r="298" spans="3:9" ht="36.75" customHeight="1" x14ac:dyDescent="0.2"/>
    <row r="299" spans="3:9" ht="36.75" customHeight="1" x14ac:dyDescent="0.2"/>
    <row r="300" spans="3:9" ht="45.75" customHeight="1" x14ac:dyDescent="0.2"/>
    <row r="301" spans="3:9" ht="42.75" customHeight="1" x14ac:dyDescent="0.2"/>
    <row r="302" spans="3:9" ht="40.5" customHeight="1" x14ac:dyDescent="0.2"/>
    <row r="303" spans="3:9" ht="36" customHeight="1" x14ac:dyDescent="0.2"/>
    <row r="304" spans="3:9" ht="44.25" customHeight="1" x14ac:dyDescent="0.2"/>
    <row r="305" ht="29.25" customHeight="1" x14ac:dyDescent="0.2"/>
    <row r="306" ht="29.25" customHeight="1" x14ac:dyDescent="0.2"/>
    <row r="307" ht="29.25" customHeight="1" x14ac:dyDescent="0.2"/>
    <row r="308" ht="43.5" customHeight="1" x14ac:dyDescent="0.2"/>
    <row r="309" ht="43.5" customHeight="1" x14ac:dyDescent="0.2"/>
    <row r="310" ht="29.25" customHeight="1" x14ac:dyDescent="0.2"/>
    <row r="311" ht="29.25" customHeight="1" x14ac:dyDescent="0.2"/>
    <row r="312" ht="29.25" customHeight="1" x14ac:dyDescent="0.2"/>
    <row r="313" ht="29.25" customHeight="1" x14ac:dyDescent="0.2"/>
    <row r="314" ht="29.25" customHeight="1" x14ac:dyDescent="0.2"/>
    <row r="315" ht="29.25" customHeight="1" x14ac:dyDescent="0.2"/>
    <row r="316" ht="49.5" customHeight="1" x14ac:dyDescent="0.2"/>
    <row r="317" ht="49.5" customHeight="1" x14ac:dyDescent="0.2"/>
    <row r="318" ht="37.5" customHeight="1" x14ac:dyDescent="0.2"/>
    <row r="319" ht="42.75" customHeight="1" x14ac:dyDescent="0.2"/>
    <row r="320" ht="42.75" customHeight="1" x14ac:dyDescent="0.2"/>
    <row r="321" ht="39" customHeight="1" x14ac:dyDescent="0.2"/>
    <row r="322" ht="34.5" customHeight="1" x14ac:dyDescent="0.2"/>
    <row r="323" ht="43.5" customHeight="1" x14ac:dyDescent="0.2"/>
    <row r="324" ht="43.5" customHeight="1" x14ac:dyDescent="0.2"/>
    <row r="325" ht="33.75" customHeight="1" x14ac:dyDescent="0.2"/>
    <row r="326" ht="29.25" customHeight="1" x14ac:dyDescent="0.2"/>
    <row r="327" ht="23.25" customHeight="1" x14ac:dyDescent="0.2"/>
    <row r="328" ht="31.5" customHeight="1" x14ac:dyDescent="0.2"/>
    <row r="329" ht="31.5" customHeight="1" x14ac:dyDescent="0.2"/>
    <row r="330" ht="31.5" customHeight="1" x14ac:dyDescent="0.2"/>
    <row r="331" ht="42" customHeight="1" x14ac:dyDescent="0.2"/>
    <row r="332" ht="31.5" customHeight="1" x14ac:dyDescent="0.2"/>
    <row r="333" ht="31.5" customHeight="1" x14ac:dyDescent="0.2"/>
    <row r="334" ht="31.5" customHeight="1" x14ac:dyDescent="0.2"/>
    <row r="335" ht="31.5" customHeight="1" x14ac:dyDescent="0.2"/>
    <row r="336" ht="31.5" customHeight="1" x14ac:dyDescent="0.2"/>
    <row r="337" ht="31.5" customHeight="1" x14ac:dyDescent="0.2"/>
    <row r="338" ht="36.75" customHeight="1" x14ac:dyDescent="0.2"/>
    <row r="339" ht="31.5" customHeight="1" x14ac:dyDescent="0.2"/>
    <row r="340" ht="31.5" customHeight="1" x14ac:dyDescent="0.2"/>
    <row r="341" ht="31.5" customHeight="1" x14ac:dyDescent="0.2"/>
    <row r="342" ht="31.5" customHeight="1" x14ac:dyDescent="0.2"/>
    <row r="343" ht="31.5" customHeight="1" x14ac:dyDescent="0.2"/>
    <row r="344" ht="31.5" customHeight="1" x14ac:dyDescent="0.2"/>
    <row r="345" ht="31.5" customHeight="1" x14ac:dyDescent="0.2"/>
    <row r="346" ht="40.5" customHeight="1" x14ac:dyDescent="0.2"/>
    <row r="347" ht="40.5" customHeight="1" x14ac:dyDescent="0.2"/>
    <row r="348" ht="31.5" customHeight="1" x14ac:dyDescent="0.2"/>
    <row r="349" ht="31.5" customHeight="1" x14ac:dyDescent="0.2"/>
    <row r="350" ht="31.5" customHeight="1" x14ac:dyDescent="0.2"/>
    <row r="351" ht="31.5" customHeight="1" x14ac:dyDescent="0.2"/>
    <row r="352" ht="31.5" customHeight="1" x14ac:dyDescent="0.2"/>
    <row r="353" ht="31.5" customHeight="1" x14ac:dyDescent="0.2"/>
    <row r="354" ht="36" customHeight="1" x14ac:dyDescent="0.2"/>
    <row r="355" ht="34.5" customHeight="1" x14ac:dyDescent="0.2"/>
    <row r="356" ht="36.75" customHeight="1" x14ac:dyDescent="0.2"/>
    <row r="357" ht="31.5" customHeight="1" x14ac:dyDescent="0.2"/>
    <row r="358" ht="31.5" customHeight="1" x14ac:dyDescent="0.2"/>
    <row r="359" ht="31.5" customHeight="1" x14ac:dyDescent="0.2"/>
    <row r="360" ht="31.5" customHeight="1" x14ac:dyDescent="0.2"/>
    <row r="361" ht="31.5" customHeight="1" x14ac:dyDescent="0.2"/>
    <row r="362" ht="31.5" customHeight="1" x14ac:dyDescent="0.2"/>
    <row r="363" ht="31.5" customHeight="1" x14ac:dyDescent="0.2"/>
    <row r="364" ht="31.5" customHeight="1" x14ac:dyDescent="0.2"/>
    <row r="365" ht="31.5" customHeight="1" x14ac:dyDescent="0.2"/>
    <row r="366" ht="31.5" customHeight="1" x14ac:dyDescent="0.2"/>
    <row r="367" ht="31.5" customHeight="1" x14ac:dyDescent="0.2"/>
    <row r="368" ht="31.5" customHeight="1" x14ac:dyDescent="0.2"/>
    <row r="369" ht="31.5" customHeight="1" x14ac:dyDescent="0.2"/>
    <row r="370" ht="31.5" customHeight="1" x14ac:dyDescent="0.2"/>
    <row r="371" ht="31.5" customHeight="1" x14ac:dyDescent="0.2"/>
    <row r="372" ht="31.5" customHeight="1" x14ac:dyDescent="0.2"/>
    <row r="373" ht="31.5" customHeight="1" x14ac:dyDescent="0.2"/>
    <row r="374" ht="31.5" customHeight="1" x14ac:dyDescent="0.2"/>
    <row r="375" ht="31.5" customHeight="1" x14ac:dyDescent="0.2"/>
    <row r="376" ht="31.5" customHeight="1" x14ac:dyDescent="0.2"/>
    <row r="377" ht="31.5" customHeight="1" x14ac:dyDescent="0.2"/>
    <row r="378" ht="31.5" customHeight="1" x14ac:dyDescent="0.2"/>
    <row r="379" ht="31.5" customHeight="1" x14ac:dyDescent="0.2"/>
    <row r="380" ht="31.5" customHeight="1" x14ac:dyDescent="0.2"/>
    <row r="381" ht="40.5" customHeight="1" x14ac:dyDescent="0.2"/>
    <row r="382" ht="31.5" customHeight="1" x14ac:dyDescent="0.2"/>
    <row r="383" ht="31.5" customHeight="1" x14ac:dyDescent="0.2"/>
    <row r="384" ht="31.5" customHeight="1" x14ac:dyDescent="0.2"/>
    <row r="385" ht="31.5" customHeight="1" x14ac:dyDescent="0.2"/>
    <row r="386" ht="31.5" customHeight="1" x14ac:dyDescent="0.2"/>
    <row r="387" ht="31.5" customHeight="1" x14ac:dyDescent="0.2"/>
    <row r="388" ht="31.5" customHeight="1" x14ac:dyDescent="0.2"/>
    <row r="389" ht="31.5" customHeight="1" x14ac:dyDescent="0.2"/>
    <row r="390" ht="31.5" customHeight="1" x14ac:dyDescent="0.2"/>
    <row r="391" ht="31.5" customHeight="1" x14ac:dyDescent="0.2"/>
    <row r="392" ht="31.5" customHeight="1" x14ac:dyDescent="0.2"/>
    <row r="393" ht="31.5" customHeight="1" x14ac:dyDescent="0.2"/>
    <row r="394" ht="31.5" customHeight="1" x14ac:dyDescent="0.2"/>
    <row r="395" ht="31.5" customHeight="1" x14ac:dyDescent="0.2"/>
    <row r="396" ht="31.5" customHeight="1" x14ac:dyDescent="0.2"/>
    <row r="397" ht="31.5" customHeight="1" x14ac:dyDescent="0.2"/>
    <row r="398" ht="31.5" customHeight="1" x14ac:dyDescent="0.2"/>
    <row r="399" ht="41.25" customHeight="1" x14ac:dyDescent="0.2"/>
    <row r="400" ht="41.25" customHeight="1" x14ac:dyDescent="0.2"/>
    <row r="401" ht="31.5" customHeight="1" x14ac:dyDescent="0.2"/>
  </sheetData>
  <mergeCells count="150">
    <mergeCell ref="M169:N169"/>
    <mergeCell ref="O169:P169"/>
    <mergeCell ref="B171:B178"/>
    <mergeCell ref="B179:B186"/>
    <mergeCell ref="B165:C170"/>
    <mergeCell ref="D169:D170"/>
    <mergeCell ref="E169:F169"/>
    <mergeCell ref="G169:H169"/>
    <mergeCell ref="C236:D236"/>
    <mergeCell ref="M202:N202"/>
    <mergeCell ref="O202:P202"/>
    <mergeCell ref="B204:B211"/>
    <mergeCell ref="B212:B219"/>
    <mergeCell ref="B220:B228"/>
    <mergeCell ref="B231:B235"/>
    <mergeCell ref="C235:D235"/>
    <mergeCell ref="B198:C203"/>
    <mergeCell ref="D202:D203"/>
    <mergeCell ref="E202:F202"/>
    <mergeCell ref="G202:H202"/>
    <mergeCell ref="I202:J202"/>
    <mergeCell ref="K202:L202"/>
    <mergeCell ref="E285:F285"/>
    <mergeCell ref="G285:H285"/>
    <mergeCell ref="I285:J285"/>
    <mergeCell ref="K285:L285"/>
    <mergeCell ref="M285:N285"/>
    <mergeCell ref="O285:P285"/>
    <mergeCell ref="Q283:R283"/>
    <mergeCell ref="E284:F284"/>
    <mergeCell ref="G284:H284"/>
    <mergeCell ref="I284:J284"/>
    <mergeCell ref="K284:L284"/>
    <mergeCell ref="M284:N284"/>
    <mergeCell ref="O284:P284"/>
    <mergeCell ref="Q284:R284"/>
    <mergeCell ref="E283:F283"/>
    <mergeCell ref="G283:H283"/>
    <mergeCell ref="I283:J283"/>
    <mergeCell ref="K283:L283"/>
    <mergeCell ref="M283:N283"/>
    <mergeCell ref="O283:P283"/>
    <mergeCell ref="M274:N274"/>
    <mergeCell ref="O274:P274"/>
    <mergeCell ref="Q274:R274"/>
    <mergeCell ref="E273:F273"/>
    <mergeCell ref="K280:L280"/>
    <mergeCell ref="M280:N280"/>
    <mergeCell ref="O280:P280"/>
    <mergeCell ref="Q280:R280"/>
    <mergeCell ref="B281:B285"/>
    <mergeCell ref="E281:F281"/>
    <mergeCell ref="G281:H281"/>
    <mergeCell ref="I281:J281"/>
    <mergeCell ref="K281:L281"/>
    <mergeCell ref="M281:N281"/>
    <mergeCell ref="O281:P281"/>
    <mergeCell ref="Q281:R281"/>
    <mergeCell ref="E282:F282"/>
    <mergeCell ref="G282:H282"/>
    <mergeCell ref="I282:J282"/>
    <mergeCell ref="K282:L282"/>
    <mergeCell ref="M282:N282"/>
    <mergeCell ref="O282:P282"/>
    <mergeCell ref="Q282:R282"/>
    <mergeCell ref="Q285:R285"/>
    <mergeCell ref="K272:L272"/>
    <mergeCell ref="M272:N272"/>
    <mergeCell ref="O272:P272"/>
    <mergeCell ref="Q272:R272"/>
    <mergeCell ref="Q275:R275"/>
    <mergeCell ref="C288:C289"/>
    <mergeCell ref="D288:H288"/>
    <mergeCell ref="F19:H19"/>
    <mergeCell ref="I154:I155"/>
    <mergeCell ref="C277:C280"/>
    <mergeCell ref="E280:F280"/>
    <mergeCell ref="G280:H280"/>
    <mergeCell ref="I280:J280"/>
    <mergeCell ref="E275:F275"/>
    <mergeCell ref="G275:H275"/>
    <mergeCell ref="I275:J275"/>
    <mergeCell ref="K275:L275"/>
    <mergeCell ref="M275:N275"/>
    <mergeCell ref="O275:P275"/>
    <mergeCell ref="Q273:R273"/>
    <mergeCell ref="E274:F274"/>
    <mergeCell ref="G274:H274"/>
    <mergeCell ref="I274:J274"/>
    <mergeCell ref="K274:L274"/>
    <mergeCell ref="M270:N270"/>
    <mergeCell ref="O270:P270"/>
    <mergeCell ref="Q270:R270"/>
    <mergeCell ref="B271:B275"/>
    <mergeCell ref="E271:F271"/>
    <mergeCell ref="G271:H271"/>
    <mergeCell ref="I271:J271"/>
    <mergeCell ref="K271:L271"/>
    <mergeCell ref="M271:N271"/>
    <mergeCell ref="O271:P271"/>
    <mergeCell ref="C267:C270"/>
    <mergeCell ref="E270:F270"/>
    <mergeCell ref="G270:H270"/>
    <mergeCell ref="I270:J270"/>
    <mergeCell ref="K270:L270"/>
    <mergeCell ref="G273:H273"/>
    <mergeCell ref="I273:J273"/>
    <mergeCell ref="K273:L273"/>
    <mergeCell ref="M273:N273"/>
    <mergeCell ref="O273:P273"/>
    <mergeCell ref="Q271:R271"/>
    <mergeCell ref="E272:F272"/>
    <mergeCell ref="G272:H272"/>
    <mergeCell ref="I272:J272"/>
    <mergeCell ref="Q258:R258"/>
    <mergeCell ref="B260:B261"/>
    <mergeCell ref="B255:C259"/>
    <mergeCell ref="D258:D259"/>
    <mergeCell ref="E258:F258"/>
    <mergeCell ref="G258:H258"/>
    <mergeCell ref="I258:J258"/>
    <mergeCell ref="K258:L258"/>
    <mergeCell ref="M258:N258"/>
    <mergeCell ref="O258:P258"/>
    <mergeCell ref="M248:N248"/>
    <mergeCell ref="O248:P248"/>
    <mergeCell ref="Q248:R248"/>
    <mergeCell ref="B250:B251"/>
    <mergeCell ref="C242:D242"/>
    <mergeCell ref="C243:D243"/>
    <mergeCell ref="B245:C249"/>
    <mergeCell ref="D248:D249"/>
    <mergeCell ref="E248:F248"/>
    <mergeCell ref="G248:H248"/>
    <mergeCell ref="C2:C3"/>
    <mergeCell ref="I2:I3"/>
    <mergeCell ref="F154:H156"/>
    <mergeCell ref="C160:C161"/>
    <mergeCell ref="B187:B195"/>
    <mergeCell ref="I169:J169"/>
    <mergeCell ref="K169:L169"/>
    <mergeCell ref="B262:B263"/>
    <mergeCell ref="I248:J248"/>
    <mergeCell ref="K248:L248"/>
    <mergeCell ref="B252:B253"/>
    <mergeCell ref="C237:D237"/>
    <mergeCell ref="C238:D238"/>
    <mergeCell ref="C239:D239"/>
    <mergeCell ref="C240:D240"/>
    <mergeCell ref="C241:D241"/>
  </mergeCells>
  <pageMargins left="0.511811024" right="0.511811024" top="0.78740157499999996" bottom="0.78740157499999996" header="0.31496062000000002" footer="0.31496062000000002"/>
  <pageSetup paperSize="9" orientation="portrait" r:id="rId1"/>
  <ignoredErrors>
    <ignoredError sqref="E16:H16 E105:H105 E108 E90:G90 E151:H151" formulaRange="1"/>
    <ignoredError sqref="I19" formula="1"/>
    <ignoredError sqref="E73:H73 E77:H77 G80:H80 E100:H100 E156 E147:H147 E140:H140" unlockedFormula="1"/>
    <ignoredError sqref="E80:F80" formulaRange="1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31" sqref="E31"/>
    </sheetView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c04560d3-a704-4f13-8370-2353aa785e1d" ContentTypeId="0x01010043FAEEBFAB8CE042AA2BA9121CB2D735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Bacen" ma:contentTypeID="0x01010043FAEEBFAB8CE042AA2BA9121CB2D73500413AA8F5C2FADF4B81B2B9BA4AD98303" ma:contentTypeVersion="18" ma:contentTypeDescription="" ma:contentTypeScope="" ma:versionID="4102727b33ae4e671b9eabeb81b26554">
  <xsd:schema xmlns:xsd="http://www.w3.org/2001/XMLSchema" xmlns:xs="http://www.w3.org/2001/XMLSchema" xmlns:p="http://schemas.microsoft.com/office/2006/metadata/properties" xmlns:ns2="59fd1f5f-b86d-4ade-a4f9-0d916cac7502" targetNamespace="http://schemas.microsoft.com/office/2006/metadata/properties" ma:root="true" ma:fieldsID="ddd95b9b700649fbde8614c6480d172d" ns2:_="">
    <xsd:import namespace="59fd1f5f-b86d-4ade-a4f9-0d916cac7502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DataPrimeiraPublicacao" minOccurs="0"/>
                <xsd:element ref="ns2:DescricaoDocumento" minOccurs="0"/>
                <xsd:element ref="ns2:DataDocumento" minOccurs="0"/>
                <xsd:element ref="ns2:HouvePrimeiraPublicac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d1f5f-b86d-4ade-a4f9-0d916cac7502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Coluna Global de Taxonomia" ma:hidden="true" ma:list="{da89651d-282c-42fe-a693-8f4b9c3ba3b0}" ma:internalName="TaxCatchAll" ma:showField="CatchAllData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Coluna Global de Taxonomia1" ma:hidden="true" ma:list="{da89651d-282c-42fe-a693-8f4b9c3ba3b0}" ma:internalName="TaxCatchAllLabel" ma:readOnly="true" ma:showField="CatchAllDataLabel" ma:web="c01b18f6-fbee-41d0-969b-5a012b8a91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ataPrimeiraPublicacao" ma:index="10" nillable="true" ma:displayName="Data da Primeira Publicação" ma:default="[today]" ma:format="DateTime" ma:hidden="true" ma:internalName="DataPrimeiraPublicacao" ma:readOnly="false">
      <xsd:simpleType>
        <xsd:restriction base="dms:DateTime"/>
      </xsd:simpleType>
    </xsd:element>
    <xsd:element name="DescricaoDocumento" ma:index="11" nillable="true" ma:displayName="Descrição do Documento" ma:internalName="DescricaoDocumento" ma:readOnly="false">
      <xsd:simpleType>
        <xsd:restriction base="dms:Note">
          <xsd:maxLength value="255"/>
        </xsd:restriction>
      </xsd:simpleType>
    </xsd:element>
    <xsd:element name="DataDocumento" ma:index="12" nillable="true" ma:displayName="Data do Documento" ma:format="DateOnly" ma:internalName="DataDocumento" ma:readOnly="false">
      <xsd:simpleType>
        <xsd:restriction base="dms:DateTime"/>
      </xsd:simpleType>
    </xsd:element>
    <xsd:element name="HouvePrimeiraPublicacao" ma:index="13" nillable="true" ma:displayName="HouvePrimeiraPublicacao" ma:decimals="0" ma:default="0" ma:hidden="true" ma:internalName="HouvePrimeiraPublicacao" ma:readOnly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PrimeiraPublicacao xmlns="59fd1f5f-b86d-4ade-a4f9-0d916cac7502">2019-03-21T17:48:39+00:00</DataPrimeiraPublicacao>
    <TaxCatchAll xmlns="59fd1f5f-b86d-4ade-a4f9-0d916cac7502"/>
    <DataDocumento xmlns="59fd1f5f-b86d-4ade-a4f9-0d916cac7502" xsi:nil="true"/>
    <DescricaoDocumento xmlns="59fd1f5f-b86d-4ade-a4f9-0d916cac7502" xsi:nil="true"/>
    <HouvePrimeiraPublicacao xmlns="59fd1f5f-b86d-4ade-a4f9-0d916cac7502">0</HouvePrimeiraPublicacao>
  </documentManagement>
</p:properties>
</file>

<file path=customXml/itemProps1.xml><?xml version="1.0" encoding="utf-8"?>
<ds:datastoreItem xmlns:ds="http://schemas.openxmlformats.org/officeDocument/2006/customXml" ds:itemID="{4D1064CA-7630-4B97-8CE0-487A4E6052E6}"/>
</file>

<file path=customXml/itemProps2.xml><?xml version="1.0" encoding="utf-8"?>
<ds:datastoreItem xmlns:ds="http://schemas.openxmlformats.org/officeDocument/2006/customXml" ds:itemID="{B3938809-ECB7-4F6D-BF6B-9673286D8433}"/>
</file>

<file path=customXml/itemProps3.xml><?xml version="1.0" encoding="utf-8"?>
<ds:datastoreItem xmlns:ds="http://schemas.openxmlformats.org/officeDocument/2006/customXml" ds:itemID="{84BB319D-23FA-45CA-ACC2-B11C9C3F4E07}"/>
</file>

<file path=customXml/itemProps4.xml><?xml version="1.0" encoding="utf-8"?>
<ds:datastoreItem xmlns:ds="http://schemas.openxmlformats.org/officeDocument/2006/customXml" ds:itemID="{CE599072-F17C-404A-979A-D51B2671E5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Modelo II - BR</vt:lpstr>
      <vt:lpstr>Modelo II - Subsidiária</vt:lpstr>
      <vt:lpstr>Plan2</vt:lpstr>
      <vt:lpstr>Plan3</vt:lpstr>
    </vt:vector>
  </TitlesOfParts>
  <Company>Banco Central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desig.scatulin</dc:creator>
  <cp:lastModifiedBy>Felipe Antonio Rocha e Silva</cp:lastModifiedBy>
  <dcterms:created xsi:type="dcterms:W3CDTF">2015-06-23T19:59:58Z</dcterms:created>
  <dcterms:modified xsi:type="dcterms:W3CDTF">2016-07-05T19:23:12Z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0x01010043FAEEBFAB8CE042AA2BA9121CB2D73500413AA8F5C2FADF4B81B2B9BA4AD98303</vt:lpwstr>
  </property>
</Properties>
</file>